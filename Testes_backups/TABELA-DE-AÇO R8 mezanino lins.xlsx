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 Engenharia\Desktop\Cesar fer\05-12-2025\"/>
    </mc:Choice>
  </mc:AlternateContent>
  <bookViews>
    <workbookView xWindow="0" yWindow="0" windowWidth="21600" windowHeight="8730"/>
  </bookViews>
  <sheets>
    <sheet name="dobrados eqse" sheetId="1" r:id="rId1"/>
    <sheet name="TELHAS" sheetId="2" r:id="rId2"/>
    <sheet name="vergalhão" sheetId="3" r:id="rId3"/>
    <sheet name="Guarda corpo" sheetId="4" r:id="rId4"/>
  </sheets>
  <calcPr calcId="162913"/>
</workbook>
</file>

<file path=xl/calcChain.xml><?xml version="1.0" encoding="utf-8"?>
<calcChain xmlns="http://schemas.openxmlformats.org/spreadsheetml/2006/main">
  <c r="L6" i="1" l="1"/>
  <c r="L7" i="1"/>
  <c r="L8" i="1"/>
  <c r="L9" i="1"/>
  <c r="N9" i="1" s="1"/>
  <c r="N6" i="1"/>
  <c r="N7" i="1"/>
  <c r="N8" i="1"/>
  <c r="O6" i="1"/>
  <c r="O7" i="1"/>
  <c r="O8" i="1"/>
  <c r="O9" i="1"/>
  <c r="C7" i="4" l="1"/>
  <c r="C6" i="4"/>
  <c r="C5" i="4"/>
  <c r="C4" i="4"/>
  <c r="C3" i="4"/>
  <c r="T11" i="3"/>
  <c r="G11" i="3" s="1"/>
  <c r="T10" i="3"/>
  <c r="H10" i="3"/>
  <c r="J10" i="3" s="1"/>
  <c r="G10" i="3"/>
  <c r="I10" i="3" s="1"/>
  <c r="T9" i="3"/>
  <c r="G9" i="3" s="1"/>
  <c r="T8" i="3"/>
  <c r="G8" i="3" s="1"/>
  <c r="T7" i="3"/>
  <c r="G7" i="3" s="1"/>
  <c r="T6" i="3"/>
  <c r="G6" i="3"/>
  <c r="I6" i="3" s="1"/>
  <c r="T5" i="3"/>
  <c r="I5" i="3"/>
  <c r="G5" i="3"/>
  <c r="H5" i="3" s="1"/>
  <c r="J5" i="3" s="1"/>
  <c r="T4" i="3"/>
  <c r="G4" i="3" s="1"/>
  <c r="T3" i="3"/>
  <c r="G3" i="3"/>
  <c r="I3" i="3" s="1"/>
  <c r="N227" i="1"/>
  <c r="P227" i="1" s="1"/>
  <c r="N226" i="1"/>
  <c r="P226" i="1" s="1"/>
  <c r="D237" i="1" s="1"/>
  <c r="L225" i="1"/>
  <c r="N225" i="1" s="1"/>
  <c r="P225" i="1" s="1"/>
  <c r="L224" i="1"/>
  <c r="N224" i="1" s="1"/>
  <c r="P224" i="1" s="1"/>
  <c r="L223" i="1"/>
  <c r="N223" i="1" s="1"/>
  <c r="P223" i="1" s="1"/>
  <c r="L222" i="1"/>
  <c r="N222" i="1" s="1"/>
  <c r="P222" i="1" s="1"/>
  <c r="L221" i="1"/>
  <c r="N221" i="1" s="1"/>
  <c r="P221" i="1" s="1"/>
  <c r="L220" i="1"/>
  <c r="N220" i="1" s="1"/>
  <c r="P220" i="1" s="1"/>
  <c r="L219" i="1"/>
  <c r="N219" i="1" s="1"/>
  <c r="P219" i="1" s="1"/>
  <c r="L218" i="1"/>
  <c r="N218" i="1" s="1"/>
  <c r="P218" i="1" s="1"/>
  <c r="L217" i="1"/>
  <c r="N217" i="1" s="1"/>
  <c r="P217" i="1" s="1"/>
  <c r="L216" i="1"/>
  <c r="N216" i="1" s="1"/>
  <c r="P216" i="1" s="1"/>
  <c r="L215" i="1"/>
  <c r="N215" i="1" s="1"/>
  <c r="P215" i="1" s="1"/>
  <c r="L214" i="1"/>
  <c r="N214" i="1" s="1"/>
  <c r="P214" i="1" s="1"/>
  <c r="L213" i="1"/>
  <c r="N213" i="1" s="1"/>
  <c r="P213" i="1" s="1"/>
  <c r="L212" i="1"/>
  <c r="N212" i="1" s="1"/>
  <c r="P212" i="1" s="1"/>
  <c r="L211" i="1"/>
  <c r="N211" i="1" s="1"/>
  <c r="P211" i="1" s="1"/>
  <c r="L210" i="1"/>
  <c r="N210" i="1" s="1"/>
  <c r="P210" i="1" s="1"/>
  <c r="L209" i="1"/>
  <c r="N209" i="1" s="1"/>
  <c r="P209" i="1" s="1"/>
  <c r="L208" i="1"/>
  <c r="N208" i="1" s="1"/>
  <c r="P208" i="1" s="1"/>
  <c r="L207" i="1"/>
  <c r="N207" i="1" s="1"/>
  <c r="P207" i="1" s="1"/>
  <c r="L206" i="1"/>
  <c r="N206" i="1" s="1"/>
  <c r="P206" i="1" s="1"/>
  <c r="L205" i="1"/>
  <c r="N205" i="1" s="1"/>
  <c r="P205" i="1" s="1"/>
  <c r="L204" i="1"/>
  <c r="N204" i="1" s="1"/>
  <c r="P204" i="1" s="1"/>
  <c r="L203" i="1"/>
  <c r="N203" i="1" s="1"/>
  <c r="P203" i="1" s="1"/>
  <c r="L202" i="1"/>
  <c r="N202" i="1" s="1"/>
  <c r="P202" i="1" s="1"/>
  <c r="L201" i="1"/>
  <c r="N201" i="1" s="1"/>
  <c r="P201" i="1" s="1"/>
  <c r="N200" i="1"/>
  <c r="P200" i="1" s="1"/>
  <c r="L200" i="1"/>
  <c r="L199" i="1"/>
  <c r="N199" i="1" s="1"/>
  <c r="O198" i="1"/>
  <c r="P198" i="1" s="1"/>
  <c r="L198" i="1"/>
  <c r="N198" i="1" s="1"/>
  <c r="O197" i="1"/>
  <c r="S152" i="1" s="1"/>
  <c r="L197" i="1"/>
  <c r="N197" i="1" s="1"/>
  <c r="O196" i="1"/>
  <c r="L196" i="1"/>
  <c r="N196" i="1" s="1"/>
  <c r="O195" i="1"/>
  <c r="L195" i="1"/>
  <c r="O194" i="1"/>
  <c r="P194" i="1" s="1"/>
  <c r="L194" i="1"/>
  <c r="N194" i="1" s="1"/>
  <c r="O193" i="1"/>
  <c r="L193" i="1"/>
  <c r="N193" i="1" s="1"/>
  <c r="O192" i="1"/>
  <c r="L192" i="1"/>
  <c r="N192" i="1" s="1"/>
  <c r="O191" i="1"/>
  <c r="S146" i="1" s="1"/>
  <c r="L191" i="1"/>
  <c r="N191" i="1" s="1"/>
  <c r="O190" i="1"/>
  <c r="L190" i="1"/>
  <c r="N190" i="1" s="1"/>
  <c r="O189" i="1"/>
  <c r="S144" i="1" s="1"/>
  <c r="L189" i="1"/>
  <c r="O188" i="1"/>
  <c r="S143" i="1" s="1"/>
  <c r="N188" i="1"/>
  <c r="O187" i="1"/>
  <c r="P187" i="1" s="1"/>
  <c r="N187" i="1"/>
  <c r="O186" i="1"/>
  <c r="P186" i="1" s="1"/>
  <c r="N186" i="1"/>
  <c r="O185" i="1"/>
  <c r="S140" i="1" s="1"/>
  <c r="N185" i="1"/>
  <c r="O184" i="1"/>
  <c r="S130" i="1" s="1"/>
  <c r="N184" i="1"/>
  <c r="O183" i="1"/>
  <c r="P183" i="1" s="1"/>
  <c r="N183" i="1"/>
  <c r="O182" i="1"/>
  <c r="P182" i="1" s="1"/>
  <c r="N182" i="1"/>
  <c r="O181" i="1"/>
  <c r="S127" i="1" s="1"/>
  <c r="N181" i="1"/>
  <c r="P180" i="1"/>
  <c r="O180" i="1"/>
  <c r="N180" i="1"/>
  <c r="O179" i="1"/>
  <c r="P179" i="1" s="1"/>
  <c r="N179" i="1"/>
  <c r="O178" i="1"/>
  <c r="P178" i="1" s="1"/>
  <c r="N178" i="1"/>
  <c r="O177" i="1"/>
  <c r="P177" i="1" s="1"/>
  <c r="N177" i="1"/>
  <c r="O176" i="1"/>
  <c r="S122" i="1" s="1"/>
  <c r="N176" i="1"/>
  <c r="O175" i="1"/>
  <c r="P175" i="1" s="1"/>
  <c r="N175" i="1"/>
  <c r="O174" i="1"/>
  <c r="P174" i="1" s="1"/>
  <c r="N174" i="1"/>
  <c r="O173" i="1"/>
  <c r="S119" i="1" s="1"/>
  <c r="N173" i="1"/>
  <c r="O172" i="1"/>
  <c r="S118" i="1" s="1"/>
  <c r="N172" i="1"/>
  <c r="O171" i="1"/>
  <c r="P171" i="1" s="1"/>
  <c r="N171" i="1"/>
  <c r="O170" i="1"/>
  <c r="P170" i="1" s="1"/>
  <c r="N170" i="1"/>
  <c r="O169" i="1"/>
  <c r="P169" i="1" s="1"/>
  <c r="N169" i="1"/>
  <c r="O168" i="1"/>
  <c r="P168" i="1" s="1"/>
  <c r="N168" i="1"/>
  <c r="O167" i="1"/>
  <c r="P167" i="1" s="1"/>
  <c r="N167" i="1"/>
  <c r="O166" i="1"/>
  <c r="P166" i="1" s="1"/>
  <c r="N166" i="1"/>
  <c r="O165" i="1"/>
  <c r="P165" i="1" s="1"/>
  <c r="N165" i="1"/>
  <c r="P164" i="1"/>
  <c r="O164" i="1"/>
  <c r="N164" i="1"/>
  <c r="O163" i="1"/>
  <c r="P163" i="1" s="1"/>
  <c r="N163" i="1"/>
  <c r="O162" i="1"/>
  <c r="P162" i="1" s="1"/>
  <c r="N162" i="1"/>
  <c r="O161" i="1"/>
  <c r="P161" i="1" s="1"/>
  <c r="N161" i="1"/>
  <c r="O160" i="1"/>
  <c r="P160" i="1" s="1"/>
  <c r="N160" i="1"/>
  <c r="O159" i="1"/>
  <c r="P159" i="1" s="1"/>
  <c r="N159" i="1"/>
  <c r="O158" i="1"/>
  <c r="P158" i="1" s="1"/>
  <c r="N158" i="1"/>
  <c r="O157" i="1"/>
  <c r="P157" i="1" s="1"/>
  <c r="N157" i="1"/>
  <c r="O156" i="1"/>
  <c r="P156" i="1" s="1"/>
  <c r="N156" i="1"/>
  <c r="O155" i="1"/>
  <c r="P155" i="1" s="1"/>
  <c r="N155" i="1"/>
  <c r="O154" i="1"/>
  <c r="P154" i="1" s="1"/>
  <c r="N154" i="1"/>
  <c r="S153" i="1"/>
  <c r="O153" i="1"/>
  <c r="P153" i="1" s="1"/>
  <c r="N153" i="1"/>
  <c r="O152" i="1"/>
  <c r="P152" i="1" s="1"/>
  <c r="N152" i="1"/>
  <c r="S151" i="1"/>
  <c r="O151" i="1"/>
  <c r="P151" i="1" s="1"/>
  <c r="N151" i="1"/>
  <c r="S150" i="1"/>
  <c r="P150" i="1"/>
  <c r="O150" i="1"/>
  <c r="N150" i="1"/>
  <c r="S149" i="1"/>
  <c r="O149" i="1"/>
  <c r="P149" i="1" s="1"/>
  <c r="N149" i="1"/>
  <c r="S148" i="1"/>
  <c r="O148" i="1"/>
  <c r="P148" i="1" s="1"/>
  <c r="N148" i="1"/>
  <c r="S147" i="1"/>
  <c r="O147" i="1"/>
  <c r="P147" i="1" s="1"/>
  <c r="N147" i="1"/>
  <c r="O146" i="1"/>
  <c r="P146" i="1" s="1"/>
  <c r="N146" i="1"/>
  <c r="S145" i="1"/>
  <c r="O145" i="1"/>
  <c r="L145" i="1"/>
  <c r="N145" i="1" s="1"/>
  <c r="O144" i="1"/>
  <c r="S86" i="1" s="1"/>
  <c r="L144" i="1"/>
  <c r="N144" i="1" s="1"/>
  <c r="O143" i="1"/>
  <c r="S85" i="1" s="1"/>
  <c r="L143" i="1"/>
  <c r="N143" i="1" s="1"/>
  <c r="S142" i="1"/>
  <c r="O142" i="1"/>
  <c r="L142" i="1"/>
  <c r="N142" i="1" s="1"/>
  <c r="O141" i="1"/>
  <c r="L141" i="1"/>
  <c r="N141" i="1" s="1"/>
  <c r="O140" i="1"/>
  <c r="S82" i="1" s="1"/>
  <c r="L140" i="1"/>
  <c r="N140" i="1" s="1"/>
  <c r="O139" i="1"/>
  <c r="L139" i="1"/>
  <c r="N139" i="1" s="1"/>
  <c r="O138" i="1"/>
  <c r="L138" i="1"/>
  <c r="N138" i="1" s="1"/>
  <c r="O137" i="1"/>
  <c r="P137" i="1" s="1"/>
  <c r="L137" i="1"/>
  <c r="N137" i="1" s="1"/>
  <c r="O136" i="1"/>
  <c r="L136" i="1"/>
  <c r="N136" i="1" s="1"/>
  <c r="O135" i="1"/>
  <c r="L135" i="1"/>
  <c r="N135" i="1" s="1"/>
  <c r="O134" i="1"/>
  <c r="P134" i="1" s="1"/>
  <c r="L134" i="1"/>
  <c r="N134" i="1" s="1"/>
  <c r="O133" i="1"/>
  <c r="L133" i="1"/>
  <c r="N133" i="1" s="1"/>
  <c r="O132" i="1"/>
  <c r="L132" i="1"/>
  <c r="N132" i="1" s="1"/>
  <c r="O131" i="1"/>
  <c r="L131" i="1"/>
  <c r="N131" i="1" s="1"/>
  <c r="O130" i="1"/>
  <c r="S71" i="1" s="1"/>
  <c r="L130" i="1"/>
  <c r="N130" i="1" s="1"/>
  <c r="S129" i="1"/>
  <c r="O129" i="1"/>
  <c r="L129" i="1"/>
  <c r="P129" i="1" s="1"/>
  <c r="O128" i="1"/>
  <c r="P128" i="1" s="1"/>
  <c r="L128" i="1"/>
  <c r="N128" i="1" s="1"/>
  <c r="O127" i="1"/>
  <c r="P127" i="1" s="1"/>
  <c r="L127" i="1"/>
  <c r="N127" i="1" s="1"/>
  <c r="S126" i="1"/>
  <c r="O126" i="1"/>
  <c r="P126" i="1" s="1"/>
  <c r="L126" i="1"/>
  <c r="N126" i="1" s="1"/>
  <c r="S125" i="1"/>
  <c r="O125" i="1"/>
  <c r="L125" i="1"/>
  <c r="N125" i="1" s="1"/>
  <c r="S124" i="1"/>
  <c r="O124" i="1"/>
  <c r="L124" i="1"/>
  <c r="N124" i="1" s="1"/>
  <c r="O123" i="1"/>
  <c r="L123" i="1"/>
  <c r="N123" i="1" s="1"/>
  <c r="O122" i="1"/>
  <c r="L122" i="1"/>
  <c r="N122" i="1" s="1"/>
  <c r="O121" i="1"/>
  <c r="L121" i="1"/>
  <c r="N121" i="1" s="1"/>
  <c r="S120" i="1"/>
  <c r="O120" i="1"/>
  <c r="L120" i="1"/>
  <c r="N120" i="1" s="1"/>
  <c r="O119" i="1"/>
  <c r="L119" i="1"/>
  <c r="N119" i="1" s="1"/>
  <c r="O118" i="1"/>
  <c r="L118" i="1"/>
  <c r="N118" i="1" s="1"/>
  <c r="O117" i="1"/>
  <c r="L117" i="1"/>
  <c r="N117" i="1" s="1"/>
  <c r="O116" i="1"/>
  <c r="S67" i="1" s="1"/>
  <c r="L116" i="1"/>
  <c r="N116" i="1" s="1"/>
  <c r="S115" i="1"/>
  <c r="O115" i="1"/>
  <c r="L115" i="1"/>
  <c r="N115" i="1" s="1"/>
  <c r="S114" i="1"/>
  <c r="O114" i="1"/>
  <c r="P114" i="1" s="1"/>
  <c r="L114" i="1"/>
  <c r="N114" i="1" s="1"/>
  <c r="S113" i="1"/>
  <c r="O113" i="1"/>
  <c r="S64" i="1" s="1"/>
  <c r="L113" i="1"/>
  <c r="N113" i="1" s="1"/>
  <c r="O112" i="1"/>
  <c r="L112" i="1"/>
  <c r="N112" i="1" s="1"/>
  <c r="S111" i="1"/>
  <c r="O111" i="1"/>
  <c r="L111" i="1"/>
  <c r="N111" i="1" s="1"/>
  <c r="S110" i="1"/>
  <c r="O110" i="1"/>
  <c r="L110" i="1"/>
  <c r="N110" i="1" s="1"/>
  <c r="S109" i="1"/>
  <c r="O109" i="1"/>
  <c r="L109" i="1"/>
  <c r="N109" i="1" s="1"/>
  <c r="S108" i="1"/>
  <c r="O108" i="1"/>
  <c r="S59" i="1" s="1"/>
  <c r="L108" i="1"/>
  <c r="N108" i="1" s="1"/>
  <c r="O107" i="1"/>
  <c r="L107" i="1"/>
  <c r="S106" i="1"/>
  <c r="O106" i="1"/>
  <c r="L106" i="1"/>
  <c r="N106" i="1" s="1"/>
  <c r="S105" i="1"/>
  <c r="O105" i="1"/>
  <c r="L105" i="1"/>
  <c r="N105" i="1" s="1"/>
  <c r="S104" i="1"/>
  <c r="O104" i="1"/>
  <c r="L104" i="1"/>
  <c r="N104" i="1" s="1"/>
  <c r="O103" i="1"/>
  <c r="L103" i="1"/>
  <c r="N103" i="1" s="1"/>
  <c r="O102" i="1"/>
  <c r="L102" i="1"/>
  <c r="N102" i="1" s="1"/>
  <c r="S101" i="1"/>
  <c r="O101" i="1"/>
  <c r="L101" i="1"/>
  <c r="N101" i="1" s="1"/>
  <c r="S100" i="1"/>
  <c r="O100" i="1"/>
  <c r="L100" i="1"/>
  <c r="N100" i="1" s="1"/>
  <c r="S99" i="1"/>
  <c r="O99" i="1"/>
  <c r="P99" i="1" s="1"/>
  <c r="L99" i="1"/>
  <c r="N99" i="1" s="1"/>
  <c r="S98" i="1"/>
  <c r="O98" i="1"/>
  <c r="L98" i="1"/>
  <c r="N98" i="1" s="1"/>
  <c r="S97" i="1"/>
  <c r="O97" i="1"/>
  <c r="L97" i="1"/>
  <c r="N97" i="1" s="1"/>
  <c r="S96" i="1"/>
  <c r="O96" i="1"/>
  <c r="P96" i="1" s="1"/>
  <c r="L96" i="1"/>
  <c r="N96" i="1" s="1"/>
  <c r="O95" i="1"/>
  <c r="L95" i="1"/>
  <c r="N95" i="1" s="1"/>
  <c r="O94" i="1"/>
  <c r="S55" i="1" s="1"/>
  <c r="L94" i="1"/>
  <c r="N94" i="1" s="1"/>
  <c r="O93" i="1"/>
  <c r="S54" i="1" s="1"/>
  <c r="L93" i="1"/>
  <c r="N93" i="1" s="1"/>
  <c r="O92" i="1"/>
  <c r="L92" i="1"/>
  <c r="N92" i="1" s="1"/>
  <c r="S91" i="1"/>
  <c r="O91" i="1"/>
  <c r="L91" i="1"/>
  <c r="N91" i="1" s="1"/>
  <c r="S90" i="1"/>
  <c r="O90" i="1"/>
  <c r="L90" i="1"/>
  <c r="N90" i="1" s="1"/>
  <c r="O89" i="1"/>
  <c r="L89" i="1"/>
  <c r="N89" i="1" s="1"/>
  <c r="S88" i="1"/>
  <c r="O88" i="1"/>
  <c r="S49" i="1" s="1"/>
  <c r="L88" i="1"/>
  <c r="N88" i="1" s="1"/>
  <c r="S87" i="1"/>
  <c r="O87" i="1"/>
  <c r="L87" i="1"/>
  <c r="P87" i="1" s="1"/>
  <c r="O86" i="1"/>
  <c r="L86" i="1"/>
  <c r="N86" i="1" s="1"/>
  <c r="O85" i="1"/>
  <c r="P85" i="1" s="1"/>
  <c r="N85" i="1"/>
  <c r="L85" i="1"/>
  <c r="O84" i="1"/>
  <c r="P84" i="1" s="1"/>
  <c r="L84" i="1"/>
  <c r="N84" i="1" s="1"/>
  <c r="S83" i="1"/>
  <c r="O83" i="1"/>
  <c r="P83" i="1" s="1"/>
  <c r="L83" i="1"/>
  <c r="N83" i="1" s="1"/>
  <c r="O82" i="1"/>
  <c r="L82" i="1"/>
  <c r="N82" i="1" s="1"/>
  <c r="O81" i="1"/>
  <c r="L81" i="1"/>
  <c r="N81" i="1" s="1"/>
  <c r="O80" i="1"/>
  <c r="L80" i="1"/>
  <c r="N80" i="1" s="1"/>
  <c r="O79" i="1"/>
  <c r="L79" i="1"/>
  <c r="N79" i="1" s="1"/>
  <c r="O78" i="1"/>
  <c r="P78" i="1" s="1"/>
  <c r="L78" i="1"/>
  <c r="N78" i="1" s="1"/>
  <c r="O77" i="1"/>
  <c r="L77" i="1"/>
  <c r="N77" i="1" s="1"/>
  <c r="O76" i="1"/>
  <c r="L76" i="1"/>
  <c r="N76" i="1" s="1"/>
  <c r="O75" i="1"/>
  <c r="L75" i="1"/>
  <c r="N75" i="1" s="1"/>
  <c r="O74" i="1"/>
  <c r="L74" i="1"/>
  <c r="N74" i="1" s="1"/>
  <c r="O73" i="1"/>
  <c r="L73" i="1"/>
  <c r="N73" i="1" s="1"/>
  <c r="O72" i="1"/>
  <c r="L72" i="1"/>
  <c r="O71" i="1"/>
  <c r="L71" i="1"/>
  <c r="N71" i="1" s="1"/>
  <c r="S70" i="1"/>
  <c r="O70" i="1"/>
  <c r="L70" i="1"/>
  <c r="S69" i="1"/>
  <c r="O69" i="1"/>
  <c r="L69" i="1"/>
  <c r="N69" i="1" s="1"/>
  <c r="S68" i="1"/>
  <c r="O68" i="1"/>
  <c r="L68" i="1"/>
  <c r="N68" i="1" s="1"/>
  <c r="O67" i="1"/>
  <c r="L67" i="1"/>
  <c r="N67" i="1" s="1"/>
  <c r="S66" i="1"/>
  <c r="O66" i="1"/>
  <c r="L66" i="1"/>
  <c r="N66" i="1" s="1"/>
  <c r="O65" i="1"/>
  <c r="L65" i="1"/>
  <c r="N65" i="1" s="1"/>
  <c r="O64" i="1"/>
  <c r="L64" i="1"/>
  <c r="N64" i="1" s="1"/>
  <c r="O63" i="1"/>
  <c r="L63" i="1"/>
  <c r="N63" i="1" s="1"/>
  <c r="O62" i="1"/>
  <c r="L62" i="1"/>
  <c r="N62" i="1" s="1"/>
  <c r="S61" i="1"/>
  <c r="O61" i="1"/>
  <c r="L61" i="1"/>
  <c r="O60" i="1"/>
  <c r="L60" i="1"/>
  <c r="O59" i="1"/>
  <c r="L59" i="1"/>
  <c r="N59" i="1" s="1"/>
  <c r="O58" i="1"/>
  <c r="L58" i="1"/>
  <c r="N58" i="1" s="1"/>
  <c r="S57" i="1"/>
  <c r="O57" i="1"/>
  <c r="L57" i="1"/>
  <c r="N57" i="1" s="1"/>
  <c r="O56" i="1"/>
  <c r="L56" i="1"/>
  <c r="N56" i="1" s="1"/>
  <c r="O55" i="1"/>
  <c r="L55" i="1"/>
  <c r="N55" i="1" s="1"/>
  <c r="O54" i="1"/>
  <c r="L54" i="1"/>
  <c r="N54" i="1" s="1"/>
  <c r="S53" i="1"/>
  <c r="O53" i="1"/>
  <c r="L53" i="1"/>
  <c r="N53" i="1" s="1"/>
  <c r="O52" i="1"/>
  <c r="L52" i="1"/>
  <c r="N52" i="1" s="1"/>
  <c r="S51" i="1"/>
  <c r="O51" i="1"/>
  <c r="L51" i="1"/>
  <c r="N51" i="1" s="1"/>
  <c r="O50" i="1"/>
  <c r="L50" i="1"/>
  <c r="N50" i="1" s="1"/>
  <c r="O49" i="1"/>
  <c r="L49" i="1"/>
  <c r="S48" i="1"/>
  <c r="O48" i="1"/>
  <c r="L48" i="1"/>
  <c r="O47" i="1"/>
  <c r="L47" i="1"/>
  <c r="N47" i="1" s="1"/>
  <c r="O46" i="1"/>
  <c r="L46" i="1"/>
  <c r="N46" i="1" s="1"/>
  <c r="O45" i="1"/>
  <c r="S45" i="1" s="1"/>
  <c r="L45" i="1"/>
  <c r="N45" i="1" s="1"/>
  <c r="O44" i="1"/>
  <c r="S44" i="1" s="1"/>
  <c r="L44" i="1"/>
  <c r="N44" i="1" s="1"/>
  <c r="O43" i="1"/>
  <c r="S43" i="1" s="1"/>
  <c r="L43" i="1"/>
  <c r="N43" i="1" s="1"/>
  <c r="O42" i="1"/>
  <c r="S42" i="1" s="1"/>
  <c r="L42" i="1"/>
  <c r="N42" i="1" s="1"/>
  <c r="O41" i="1"/>
  <c r="L41" i="1"/>
  <c r="N41" i="1" s="1"/>
  <c r="O40" i="1"/>
  <c r="L40" i="1"/>
  <c r="N40" i="1" s="1"/>
  <c r="O39" i="1"/>
  <c r="S39" i="1" s="1"/>
  <c r="L39" i="1"/>
  <c r="N39" i="1" s="1"/>
  <c r="O38" i="1"/>
  <c r="S38" i="1" s="1"/>
  <c r="L38" i="1"/>
  <c r="N38" i="1" s="1"/>
  <c r="S37" i="1"/>
  <c r="O37" i="1"/>
  <c r="L37" i="1"/>
  <c r="P37" i="1" s="1"/>
  <c r="O36" i="1"/>
  <c r="S36" i="1" s="1"/>
  <c r="L36" i="1"/>
  <c r="O35" i="1"/>
  <c r="S35" i="1" s="1"/>
  <c r="L35" i="1"/>
  <c r="N35" i="1" s="1"/>
  <c r="O34" i="1"/>
  <c r="L34" i="1"/>
  <c r="N34" i="1" s="1"/>
  <c r="O33" i="1"/>
  <c r="L33" i="1"/>
  <c r="N33" i="1" s="1"/>
  <c r="O32" i="1"/>
  <c r="L32" i="1"/>
  <c r="O31" i="1"/>
  <c r="L31" i="1"/>
  <c r="N31" i="1" s="1"/>
  <c r="O30" i="1"/>
  <c r="L30" i="1"/>
  <c r="N30" i="1" s="1"/>
  <c r="O29" i="1"/>
  <c r="L29" i="1"/>
  <c r="O28" i="1"/>
  <c r="L28" i="1"/>
  <c r="N28" i="1" s="1"/>
  <c r="O27" i="1"/>
  <c r="L27" i="1"/>
  <c r="N27" i="1" s="1"/>
  <c r="O26" i="1"/>
  <c r="L26" i="1"/>
  <c r="O25" i="1"/>
  <c r="L25" i="1"/>
  <c r="N25" i="1" s="1"/>
  <c r="O24" i="1"/>
  <c r="L24" i="1"/>
  <c r="N24" i="1" s="1"/>
  <c r="O23" i="1"/>
  <c r="L23" i="1"/>
  <c r="P23" i="1" s="1"/>
  <c r="O22" i="1"/>
  <c r="L22" i="1"/>
  <c r="N22" i="1" s="1"/>
  <c r="O21" i="1"/>
  <c r="L21" i="1"/>
  <c r="N21" i="1" s="1"/>
  <c r="O20" i="1"/>
  <c r="L20" i="1"/>
  <c r="O19" i="1"/>
  <c r="L19" i="1"/>
  <c r="N19" i="1" s="1"/>
  <c r="O18" i="1"/>
  <c r="L18" i="1"/>
  <c r="N18" i="1" s="1"/>
  <c r="O17" i="1"/>
  <c r="L17" i="1"/>
  <c r="O16" i="1"/>
  <c r="L16" i="1"/>
  <c r="N16" i="1" s="1"/>
  <c r="O15" i="1"/>
  <c r="L15" i="1"/>
  <c r="N15" i="1" s="1"/>
  <c r="O14" i="1"/>
  <c r="L14" i="1"/>
  <c r="P14" i="1" s="1"/>
  <c r="O13" i="1"/>
  <c r="L13" i="1"/>
  <c r="N13" i="1" s="1"/>
  <c r="O12" i="1"/>
  <c r="L12" i="1"/>
  <c r="N12" i="1" s="1"/>
  <c r="O11" i="1"/>
  <c r="L11" i="1"/>
  <c r="O10" i="1"/>
  <c r="L10" i="1"/>
  <c r="N10" i="1" s="1"/>
  <c r="P8" i="1"/>
  <c r="O5" i="1"/>
  <c r="L5" i="1"/>
  <c r="O4" i="1"/>
  <c r="L4" i="1"/>
  <c r="N4" i="1" s="1"/>
  <c r="N229" i="1" l="1"/>
  <c r="P103" i="1"/>
  <c r="P91" i="1"/>
  <c r="P104" i="1"/>
  <c r="P30" i="1"/>
  <c r="P29" i="1"/>
  <c r="P70" i="1"/>
  <c r="P95" i="1"/>
  <c r="P105" i="1"/>
  <c r="P86" i="1"/>
  <c r="P108" i="1"/>
  <c r="P112" i="1"/>
  <c r="P118" i="1"/>
  <c r="P125" i="1"/>
  <c r="P26" i="1"/>
  <c r="P61" i="1"/>
  <c r="P115" i="1"/>
  <c r="P122" i="1"/>
  <c r="P106" i="1"/>
  <c r="P119" i="1"/>
  <c r="P176" i="1"/>
  <c r="D233" i="1" s="1"/>
  <c r="P62" i="1"/>
  <c r="P74" i="1"/>
  <c r="P18" i="1"/>
  <c r="P41" i="1"/>
  <c r="P21" i="1"/>
  <c r="P25" i="1"/>
  <c r="P33" i="1"/>
  <c r="P75" i="1"/>
  <c r="P79" i="1"/>
  <c r="P82" i="1"/>
  <c r="P27" i="1"/>
  <c r="P24" i="1"/>
  <c r="P58" i="1"/>
  <c r="P81" i="1"/>
  <c r="P145" i="1"/>
  <c r="P193" i="1"/>
  <c r="P195" i="1"/>
  <c r="P196" i="1"/>
  <c r="P192" i="1"/>
  <c r="P189" i="1"/>
  <c r="S89" i="1"/>
  <c r="S102" i="1"/>
  <c r="S107" i="1"/>
  <c r="S112" i="1"/>
  <c r="S121" i="1"/>
  <c r="P172" i="1"/>
  <c r="P188" i="1"/>
  <c r="S103" i="1"/>
  <c r="P184" i="1"/>
  <c r="S123" i="1"/>
  <c r="S128" i="1"/>
  <c r="S141" i="1"/>
  <c r="S65" i="1"/>
  <c r="P90" i="1"/>
  <c r="P142" i="1"/>
  <c r="S47" i="1"/>
  <c r="S56" i="1"/>
  <c r="S84" i="1"/>
  <c r="P89" i="1"/>
  <c r="P93" i="1"/>
  <c r="P94" i="1"/>
  <c r="P97" i="1"/>
  <c r="P110" i="1"/>
  <c r="P120" i="1"/>
  <c r="P133" i="1"/>
  <c r="P136" i="1"/>
  <c r="P139" i="1"/>
  <c r="P141" i="1"/>
  <c r="P98" i="1"/>
  <c r="P111" i="1"/>
  <c r="P116" i="1"/>
  <c r="P121" i="1"/>
  <c r="S46" i="1"/>
  <c r="S52" i="1"/>
  <c r="P60" i="1"/>
  <c r="P72" i="1"/>
  <c r="P88" i="1"/>
  <c r="P92" i="1"/>
  <c r="P100" i="1"/>
  <c r="P101" i="1"/>
  <c r="P102" i="1"/>
  <c r="P107" i="1"/>
  <c r="P109" i="1"/>
  <c r="P117" i="1"/>
  <c r="P123" i="1"/>
  <c r="P124" i="1"/>
  <c r="P130" i="1"/>
  <c r="P135" i="1"/>
  <c r="P138" i="1"/>
  <c r="P22" i="1"/>
  <c r="P34" i="1"/>
  <c r="S41" i="1"/>
  <c r="P54" i="1"/>
  <c r="N60" i="1"/>
  <c r="P64" i="1"/>
  <c r="N70" i="1"/>
  <c r="N72" i="1"/>
  <c r="P77" i="1"/>
  <c r="P19" i="1"/>
  <c r="P31" i="1"/>
  <c r="S34" i="1"/>
  <c r="P36" i="1"/>
  <c r="P40" i="1"/>
  <c r="P66" i="1"/>
  <c r="P67" i="1"/>
  <c r="P68" i="1"/>
  <c r="P69" i="1"/>
  <c r="P73" i="1"/>
  <c r="P80" i="1"/>
  <c r="P20" i="1"/>
  <c r="P28" i="1"/>
  <c r="P32" i="1"/>
  <c r="N36" i="1"/>
  <c r="P56" i="1"/>
  <c r="P57" i="1"/>
  <c r="P59" i="1"/>
  <c r="P63" i="1"/>
  <c r="P65" i="1"/>
  <c r="P71" i="1"/>
  <c r="P76" i="1"/>
  <c r="P199" i="1"/>
  <c r="D235" i="1" s="1"/>
  <c r="P55" i="1"/>
  <c r="P53" i="1"/>
  <c r="P52" i="1"/>
  <c r="P50" i="1"/>
  <c r="P48" i="1"/>
  <c r="P46" i="1"/>
  <c r="P197" i="1"/>
  <c r="N195" i="1"/>
  <c r="N189" i="1"/>
  <c r="P190" i="1"/>
  <c r="P191" i="1"/>
  <c r="P5" i="1"/>
  <c r="P11" i="1"/>
  <c r="P17" i="1"/>
  <c r="P6" i="1"/>
  <c r="P12" i="1"/>
  <c r="P4" i="1"/>
  <c r="P16" i="1"/>
  <c r="P13" i="1"/>
  <c r="P10" i="1"/>
  <c r="P15" i="1"/>
  <c r="P9" i="1"/>
  <c r="P7" i="1"/>
  <c r="P38" i="1"/>
  <c r="S40" i="1"/>
  <c r="P49" i="1"/>
  <c r="P44" i="1"/>
  <c r="P47" i="1"/>
  <c r="N48" i="1"/>
  <c r="P45" i="1"/>
  <c r="P51" i="1"/>
  <c r="P131" i="1"/>
  <c r="P132" i="1"/>
  <c r="I8" i="3"/>
  <c r="H8" i="3"/>
  <c r="J8" i="3" s="1"/>
  <c r="H9" i="3"/>
  <c r="J9" i="3" s="1"/>
  <c r="I9" i="3"/>
  <c r="I4" i="3"/>
  <c r="I13" i="3" s="1"/>
  <c r="H4" i="3"/>
  <c r="J4" i="3" s="1"/>
  <c r="I11" i="3"/>
  <c r="H11" i="3"/>
  <c r="J11" i="3" s="1"/>
  <c r="I7" i="3"/>
  <c r="I12" i="3" s="1"/>
  <c r="I14" i="3" s="1"/>
  <c r="H7" i="3"/>
  <c r="J7" i="3" s="1"/>
  <c r="P43" i="1"/>
  <c r="S50" i="1"/>
  <c r="S62" i="1"/>
  <c r="P113" i="1"/>
  <c r="P144" i="1"/>
  <c r="S60" i="1"/>
  <c r="P173" i="1"/>
  <c r="D234" i="1" s="1"/>
  <c r="P181" i="1"/>
  <c r="P185" i="1"/>
  <c r="N5" i="1"/>
  <c r="N11" i="1"/>
  <c r="N14" i="1"/>
  <c r="N17" i="1"/>
  <c r="N20" i="1"/>
  <c r="N23" i="1"/>
  <c r="N26" i="1"/>
  <c r="N29" i="1"/>
  <c r="N32" i="1"/>
  <c r="N37" i="1"/>
  <c r="P39" i="1"/>
  <c r="N49" i="1"/>
  <c r="S58" i="1"/>
  <c r="N61" i="1"/>
  <c r="N87" i="1"/>
  <c r="N107" i="1"/>
  <c r="N129" i="1"/>
  <c r="P140" i="1"/>
  <c r="H3" i="3"/>
  <c r="J3" i="3" s="1"/>
  <c r="J13" i="3" s="1"/>
  <c r="S63" i="1"/>
  <c r="P42" i="1"/>
  <c r="P143" i="1"/>
  <c r="H6" i="3"/>
  <c r="J6" i="3" s="1"/>
  <c r="J12" i="3" s="1"/>
  <c r="J14" i="3" s="1"/>
  <c r="P35" i="1"/>
  <c r="D232" i="1" l="1"/>
  <c r="P229" i="1"/>
  <c r="D236" i="1"/>
  <c r="V34" i="1" l="1"/>
  <c r="D238" i="1"/>
  <c r="D239" i="1" s="1"/>
  <c r="V3" i="1" s="1"/>
</calcChain>
</file>

<file path=xl/sharedStrings.xml><?xml version="1.0" encoding="utf-8"?>
<sst xmlns="http://schemas.openxmlformats.org/spreadsheetml/2006/main" count="1588" uniqueCount="238">
  <si>
    <t>Tabela  de aço para projeto basico</t>
  </si>
  <si>
    <t>BARRA DE 6 M PERFIS   BARRA 12M PERFIL W</t>
  </si>
  <si>
    <t>DESCRIÇAO</t>
  </si>
  <si>
    <t>TIPO DE MATERIAL</t>
  </si>
  <si>
    <t>QUANT.</t>
  </si>
  <si>
    <t>UND.</t>
  </si>
  <si>
    <t>PESO</t>
  </si>
  <si>
    <t>Nº dobras</t>
  </si>
  <si>
    <t>sobras (m)</t>
  </si>
  <si>
    <t>area</t>
  </si>
  <si>
    <t>A</t>
  </si>
  <si>
    <t>B</t>
  </si>
  <si>
    <t>C</t>
  </si>
  <si>
    <t>esp.</t>
  </si>
  <si>
    <t>UNITARIO</t>
  </si>
  <si>
    <t>UNID.</t>
  </si>
  <si>
    <t>TOTAL-Kg</t>
  </si>
  <si>
    <t>taxa</t>
  </si>
  <si>
    <t>KG/m²</t>
  </si>
  <si>
    <t>U.s</t>
  </si>
  <si>
    <t>X</t>
  </si>
  <si>
    <t>ASTM A36</t>
  </si>
  <si>
    <t>m</t>
  </si>
  <si>
    <t>kg/m</t>
  </si>
  <si>
    <t>perda</t>
  </si>
  <si>
    <t>MF + TRAVA BZ INFERIOR</t>
  </si>
  <si>
    <t>chapa 2,00- aba minima de 17,5</t>
  </si>
  <si>
    <t>Chapa 3,00 - aba mínima de 20</t>
  </si>
  <si>
    <t>Chapa 3,35 - aba mínima de 30</t>
  </si>
  <si>
    <t>Chapa 3,75 - aba mínima de 30</t>
  </si>
  <si>
    <t>Chapa 4,75 - aba mínima de 40</t>
  </si>
  <si>
    <t>U.e</t>
  </si>
  <si>
    <t>Chapa 6,35 - aba mínima de 50</t>
  </si>
  <si>
    <t>CS</t>
  </si>
  <si>
    <t>CR</t>
  </si>
  <si>
    <t>MF</t>
  </si>
  <si>
    <t>SP TERÇA FECH.</t>
  </si>
  <si>
    <t>L dobrado  de abas iguais</t>
  </si>
  <si>
    <t>METALON</t>
  </si>
  <si>
    <t xml:space="preserve">L </t>
  </si>
  <si>
    <t>CALHA CORTE</t>
  </si>
  <si>
    <t>L DOBRADO</t>
  </si>
  <si>
    <t>SP CV + SP MF</t>
  </si>
  <si>
    <t>tubo redondo</t>
  </si>
  <si>
    <t>".</t>
  </si>
  <si>
    <t>"</t>
  </si>
  <si>
    <t>TI</t>
  </si>
  <si>
    <t>CV</t>
  </si>
  <si>
    <t>W150X13</t>
  </si>
  <si>
    <t>ASTM-A572-GR50</t>
  </si>
  <si>
    <t>CHUMBADOR</t>
  </si>
  <si>
    <t>W150X18</t>
  </si>
  <si>
    <t>W150X22,5</t>
  </si>
  <si>
    <t>W150X29,8</t>
  </si>
  <si>
    <t>W150X37,1</t>
  </si>
  <si>
    <t>W200X15</t>
  </si>
  <si>
    <t>W200X19,3</t>
  </si>
  <si>
    <t>W200X26,6</t>
  </si>
  <si>
    <t>W200X35,9</t>
  </si>
  <si>
    <t>W200X41,7</t>
  </si>
  <si>
    <t>W200X46,1</t>
  </si>
  <si>
    <t>W200X53</t>
  </si>
  <si>
    <t>W250X17,9</t>
  </si>
  <si>
    <t>W250X32,7</t>
  </si>
  <si>
    <t>W250X62</t>
  </si>
  <si>
    <t>W310X38,7</t>
  </si>
  <si>
    <t>W310X44,5</t>
  </si>
  <si>
    <t>W360X39</t>
  </si>
  <si>
    <t>W410X46,1</t>
  </si>
  <si>
    <t>W410X67</t>
  </si>
  <si>
    <t>W410X85</t>
  </si>
  <si>
    <t>W460X52</t>
  </si>
  <si>
    <t>W460X60</t>
  </si>
  <si>
    <t>W460X74</t>
  </si>
  <si>
    <t>W530X66</t>
  </si>
  <si>
    <t>W530X72</t>
  </si>
  <si>
    <t>W530X82</t>
  </si>
  <si>
    <t>W530X92</t>
  </si>
  <si>
    <t>W610X174</t>
  </si>
  <si>
    <t>L 3/4"x1/8"</t>
  </si>
  <si>
    <t>L 1"x1/8"</t>
  </si>
  <si>
    <t>L 1.1/4"x1/8"</t>
  </si>
  <si>
    <t>L 1.1/2"x1/8"</t>
  </si>
  <si>
    <t>L 1.1/2"x3/16"</t>
  </si>
  <si>
    <t>L 1.3/4"x1/8"</t>
  </si>
  <si>
    <t>L 1.3/4"x3/16"</t>
  </si>
  <si>
    <t>L 2"x1/8"</t>
  </si>
  <si>
    <t>L 2"x3/16"</t>
  </si>
  <si>
    <t>L 2"x1/4"</t>
  </si>
  <si>
    <t>L 2.1/2"x3/16"</t>
  </si>
  <si>
    <t>L 2.1/2"x1/4"</t>
  </si>
  <si>
    <t>L 3"x3/16"</t>
  </si>
  <si>
    <t>L 3"x1/4"</t>
  </si>
  <si>
    <t>FERRO MECANICO RED.</t>
  </si>
  <si>
    <t>Ø</t>
  </si>
  <si>
    <t>FERRO CHATO</t>
  </si>
  <si>
    <t xml:space="preserve"> "  .</t>
  </si>
  <si>
    <t>#</t>
  </si>
  <si>
    <t>CHAPA A</t>
  </si>
  <si>
    <t>pç</t>
  </si>
  <si>
    <t>kg/m²</t>
  </si>
  <si>
    <t>CHAPA B</t>
  </si>
  <si>
    <t>CHAPA C</t>
  </si>
  <si>
    <t>CHAPA D</t>
  </si>
  <si>
    <t>CHAPA E</t>
  </si>
  <si>
    <t>CHAPA F</t>
  </si>
  <si>
    <t>CHAPA G</t>
  </si>
  <si>
    <t>CHAPA H</t>
  </si>
  <si>
    <t>CHAPA I</t>
  </si>
  <si>
    <t>CHAPA J</t>
  </si>
  <si>
    <t>CHAPA K</t>
  </si>
  <si>
    <t>CHAPA L</t>
  </si>
  <si>
    <t>CHAPA M</t>
  </si>
  <si>
    <t>CHAPA N</t>
  </si>
  <si>
    <t>CHAPA O</t>
  </si>
  <si>
    <t>CHAPA P</t>
  </si>
  <si>
    <t>CHAPA Q</t>
  </si>
  <si>
    <t>CHAPA R</t>
  </si>
  <si>
    <t>CHAPA S</t>
  </si>
  <si>
    <t>CHAPA T</t>
  </si>
  <si>
    <t>CHAPA U</t>
  </si>
  <si>
    <t>CHAPA V</t>
  </si>
  <si>
    <t>CHAPA W</t>
  </si>
  <si>
    <t>CHAPA X</t>
  </si>
  <si>
    <t>CHAPA Y</t>
  </si>
  <si>
    <t>CHAPA Z</t>
  </si>
  <si>
    <t>CHAPA AA</t>
  </si>
  <si>
    <t>Dg. XADREZ</t>
  </si>
  <si>
    <t>ASTM A35</t>
  </si>
  <si>
    <t>CH. XADREZ</t>
  </si>
  <si>
    <t>TOTAL</t>
  </si>
  <si>
    <t>RESUMO DE AÇO (O QUANTITATIVO FINAL É DE RESPONSABILIDADE DO FABRICANTE DA ESTRUTURA)</t>
  </si>
  <si>
    <t>DOBRADOS</t>
  </si>
  <si>
    <t>LAMINADOS</t>
  </si>
  <si>
    <t>PERFIL W</t>
  </si>
  <si>
    <t>CHAPAS</t>
  </si>
  <si>
    <t>TUBOS REDONDO</t>
  </si>
  <si>
    <t>CHAPA XADREZ</t>
  </si>
  <si>
    <t>MARGEM</t>
  </si>
  <si>
    <t>TOTAL (KG)</t>
  </si>
  <si>
    <t>VALOR DO PROJETO DE ESTRUTURA METÁLICA: R$ 4.200,00</t>
  </si>
  <si>
    <t>TABELA DE TELHAS PARA ORÇAMENTO</t>
  </si>
  <si>
    <t>IDENTIFICAÇÃO</t>
  </si>
  <si>
    <t>QUANTIDADE</t>
  </si>
  <si>
    <t>MODELO</t>
  </si>
  <si>
    <t xml:space="preserve">ISOLANTE </t>
  </si>
  <si>
    <t>ESP. ISOLANTE</t>
  </si>
  <si>
    <t xml:space="preserve">TELHA SUP. </t>
  </si>
  <si>
    <t>TELHAS. INF.</t>
  </si>
  <si>
    <t>PINTURA FACE SUP.</t>
  </si>
  <si>
    <t>PINTURA FACE INF.</t>
  </si>
  <si>
    <t>COBRIMENTO UTIL</t>
  </si>
  <si>
    <t>COMPRIMENTO</t>
  </si>
  <si>
    <t>TELHA 01</t>
  </si>
  <si>
    <t>TP25</t>
  </si>
  <si>
    <t>........</t>
  </si>
  <si>
    <t>0,43mm</t>
  </si>
  <si>
    <t>a definir</t>
  </si>
  <si>
    <t>980 mm</t>
  </si>
  <si>
    <t>900mm</t>
  </si>
  <si>
    <t>TELHA 02</t>
  </si>
  <si>
    <t>1025mm</t>
  </si>
  <si>
    <t>TELHA 03</t>
  </si>
  <si>
    <t>1180mm</t>
  </si>
  <si>
    <t>TELHA 04</t>
  </si>
  <si>
    <t>1325mm</t>
  </si>
  <si>
    <t>TELHA 05</t>
  </si>
  <si>
    <t>1475mm</t>
  </si>
  <si>
    <t>TELHA 06</t>
  </si>
  <si>
    <t>1623mm</t>
  </si>
  <si>
    <t>TELHA 07</t>
  </si>
  <si>
    <t>1772mm</t>
  </si>
  <si>
    <t>TELHA 08</t>
  </si>
  <si>
    <t>1922mm</t>
  </si>
  <si>
    <t>TELHA 09</t>
  </si>
  <si>
    <t>2071mm</t>
  </si>
  <si>
    <t>TELHA 10</t>
  </si>
  <si>
    <t>2221mm</t>
  </si>
  <si>
    <t>TELHA 11</t>
  </si>
  <si>
    <t>2370mm</t>
  </si>
  <si>
    <t>TELHA 12</t>
  </si>
  <si>
    <t>TP40</t>
  </si>
  <si>
    <t>9435mm</t>
  </si>
  <si>
    <t>CUMEEIRAS 300/300</t>
  </si>
  <si>
    <t>0,50 mm</t>
  </si>
  <si>
    <t>600mm</t>
  </si>
  <si>
    <t>TELHA 02 TRANSLUCIDA</t>
  </si>
  <si>
    <t>1mm</t>
  </si>
  <si>
    <t>1050mm</t>
  </si>
  <si>
    <t>7713mm</t>
  </si>
  <si>
    <t>TABELA DE CALHAS E RUFOS</t>
  </si>
  <si>
    <t>GEOMETRIA</t>
  </si>
  <si>
    <t>REVESTIMENTO</t>
  </si>
  <si>
    <t>CHAPA. (mm)</t>
  </si>
  <si>
    <t>PINTURA</t>
  </si>
  <si>
    <t>CORTE (mm)</t>
  </si>
  <si>
    <t>COMPRIMENTO (mm)</t>
  </si>
  <si>
    <t xml:space="preserve">CALHA </t>
  </si>
  <si>
    <t>galvalume</t>
  </si>
  <si>
    <t xml:space="preserve"> a definir</t>
  </si>
  <si>
    <t>RUFO CHAPÉU LONGIT.</t>
  </si>
  <si>
    <t>RUFO DE CANTO EXT.</t>
  </si>
  <si>
    <t>RUFO DE CANTO INT.</t>
  </si>
  <si>
    <t>RUFO CHAPÉU OITAO</t>
  </si>
  <si>
    <t>TABELA DE AÇO VERGALHÃO DE ACORDO COM PROJETO FORNECIDO PELO CLIENTE</t>
  </si>
  <si>
    <t>FORMULA NÃO MEXER</t>
  </si>
  <si>
    <t>QUANT.(KG)</t>
  </si>
  <si>
    <t>QUANT.(M)</t>
  </si>
  <si>
    <t>BITOLA (mm)</t>
  </si>
  <si>
    <t>BITOLA (POL)</t>
  </si>
  <si>
    <t>AÇO</t>
  </si>
  <si>
    <t>PESO/M</t>
  </si>
  <si>
    <t>BARRAS (12m)</t>
  </si>
  <si>
    <t>BARRAS (12m)+MARG</t>
  </si>
  <si>
    <t>PESO TOTAL</t>
  </si>
  <si>
    <t>PESO + MARG</t>
  </si>
  <si>
    <t>***********</t>
  </si>
  <si>
    <t>CA60</t>
  </si>
  <si>
    <t>1/4"</t>
  </si>
  <si>
    <t>CA50</t>
  </si>
  <si>
    <t>5/16"</t>
  </si>
  <si>
    <t>3/8"</t>
  </si>
  <si>
    <t>1/2"</t>
  </si>
  <si>
    <t>5/8"</t>
  </si>
  <si>
    <t>3/4"</t>
  </si>
  <si>
    <t>1"</t>
  </si>
  <si>
    <t>RESUMO DO AÇO (kg)</t>
  </si>
  <si>
    <t>CA-50</t>
  </si>
  <si>
    <t>CA-60</t>
  </si>
  <si>
    <t>TOTAL GERAL(kg)</t>
  </si>
  <si>
    <t xml:space="preserve">Guarda corpo </t>
  </si>
  <si>
    <t>Guarda corpo escada</t>
  </si>
  <si>
    <t>ml</t>
  </si>
  <si>
    <t>tubo superior Ø2"x2,00</t>
  </si>
  <si>
    <t>Pilares Ø2"x2,00</t>
  </si>
  <si>
    <t>Tubos miolo Ø1"x2,00</t>
  </si>
  <si>
    <t>rodapé U200x20x2,00</t>
  </si>
  <si>
    <t>tubo 1.1/2"x2,00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</si>
</sst>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/>
  </cellStyleXfs>
  <cellXfs count="99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2" fontId="0" fillId="0" borderId="1" xfId="0" applyNumberFormat="1" applyBorder="1" applyAlignment="1">
      <alignment horizontal="center"/>
    </xf>
    <xf numFmtId="9" fontId="6" fillId="0" borderId="4" xfId="1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8" fillId="0" borderId="1" xfId="0" applyFont="1" applyBorder="1"/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2" fontId="3" fillId="0" borderId="1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1" fillId="2" borderId="1" xfId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/>
    <xf numFmtId="1" fontId="11" fillId="0" borderId="1" xfId="0" applyNumberFormat="1" applyFont="1" applyBorder="1" applyAlignment="1">
      <alignment horizontal="center" vertical="center"/>
    </xf>
    <xf numFmtId="0" fontId="0" fillId="0" borderId="14" xfId="0" applyBorder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7" xfId="0" applyBorder="1"/>
    <xf numFmtId="0" fontId="9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5"/>
  <sheetViews>
    <sheetView tabSelected="1" topLeftCell="A27" zoomScaleNormal="100" workbookViewId="0">
      <selection activeCell="N229" sqref="N229"/>
    </sheetView>
  </sheetViews>
  <sheetFormatPr defaultColWidth="9.140625" defaultRowHeight="15" customHeight="1" x14ac:dyDescent="0.25"/>
  <cols>
    <col min="1" max="1" width="34" style="8" customWidth="1"/>
    <col min="2" max="2" width="4.85546875" style="59" customWidth="1"/>
    <col min="3" max="3" width="7.5703125" style="8" customWidth="1"/>
    <col min="4" max="4" width="13" style="59" customWidth="1"/>
    <col min="5" max="5" width="4.5703125" style="8" customWidth="1"/>
    <col min="6" max="6" width="3.7109375" style="59" customWidth="1"/>
    <col min="7" max="7" width="5.5703125" style="8" customWidth="1"/>
    <col min="8" max="8" width="5.28515625" style="59" customWidth="1"/>
    <col min="9" max="9" width="17.5703125" style="8" customWidth="1"/>
    <col min="10" max="10" width="9.140625" style="8" customWidth="1"/>
    <col min="11" max="11" width="6.5703125" style="8" customWidth="1"/>
    <col min="12" max="12" width="9.140625" style="8" customWidth="1"/>
    <col min="13" max="13" width="6.7109375" style="8" customWidth="1"/>
    <col min="14" max="14" width="18.5703125" style="8" customWidth="1"/>
    <col min="15" max="15" width="25.5703125" style="8" customWidth="1"/>
    <col min="16" max="16" width="9.7109375" style="8" customWidth="1"/>
    <col min="17" max="17" width="4.85546875" style="8" customWidth="1"/>
    <col min="18" max="18" width="10" style="8" customWidth="1"/>
    <col min="19" max="19" width="6.85546875" style="8" customWidth="1"/>
    <col min="20" max="20" width="5.140625" style="8" customWidth="1"/>
    <col min="21" max="21" width="17" style="8" customWidth="1"/>
    <col min="22" max="28" width="9.140625" style="8" customWidth="1"/>
    <col min="29" max="16384" width="9.140625" style="8"/>
  </cols>
  <sheetData>
    <row r="1" spans="1:23" ht="34.5" customHeight="1" x14ac:dyDescent="0.25">
      <c r="A1" s="68" t="s">
        <v>0</v>
      </c>
      <c r="B1" s="69"/>
      <c r="C1" s="69"/>
      <c r="D1" s="69"/>
      <c r="E1" s="69"/>
      <c r="F1" s="69"/>
      <c r="G1" s="69"/>
      <c r="H1" s="70"/>
      <c r="I1" s="67"/>
      <c r="J1" s="80"/>
      <c r="K1" s="80"/>
      <c r="L1" s="80"/>
      <c r="M1" s="80"/>
      <c r="N1" s="80"/>
      <c r="O1" s="32" t="s">
        <v>1</v>
      </c>
      <c r="P1" s="32"/>
    </row>
    <row r="2" spans="1:23" ht="15" customHeight="1" x14ac:dyDescent="0.25">
      <c r="A2" s="71" t="s">
        <v>2</v>
      </c>
      <c r="B2" s="72"/>
      <c r="C2" s="72"/>
      <c r="D2" s="72"/>
      <c r="E2" s="72"/>
      <c r="F2" s="72"/>
      <c r="G2" s="72"/>
      <c r="H2" s="73"/>
      <c r="I2" s="67" t="s">
        <v>3</v>
      </c>
      <c r="J2" s="80" t="s">
        <v>4</v>
      </c>
      <c r="K2" s="80" t="s">
        <v>5</v>
      </c>
      <c r="L2" s="80" t="s">
        <v>6</v>
      </c>
      <c r="M2" s="80"/>
      <c r="N2" s="80"/>
      <c r="O2" s="32"/>
      <c r="P2" s="32"/>
      <c r="R2" s="8" t="s">
        <v>7</v>
      </c>
      <c r="S2" s="8" t="s">
        <v>8</v>
      </c>
      <c r="U2" s="8" t="s">
        <v>9</v>
      </c>
      <c r="V2" s="2">
        <v>2400</v>
      </c>
    </row>
    <row r="3" spans="1:23" ht="15" customHeight="1" x14ac:dyDescent="0.25">
      <c r="A3" s="47"/>
      <c r="B3" s="54" t="s">
        <v>10</v>
      </c>
      <c r="C3" s="47"/>
      <c r="D3" s="54" t="s">
        <v>11</v>
      </c>
      <c r="E3" s="47"/>
      <c r="F3" s="54" t="s">
        <v>12</v>
      </c>
      <c r="G3" s="47"/>
      <c r="H3" s="54" t="s">
        <v>13</v>
      </c>
      <c r="I3" s="80"/>
      <c r="J3" s="80"/>
      <c r="K3" s="80"/>
      <c r="L3" s="31" t="s">
        <v>14</v>
      </c>
      <c r="M3" s="31" t="s">
        <v>15</v>
      </c>
      <c r="N3" s="31" t="s">
        <v>16</v>
      </c>
      <c r="O3" s="31" t="s">
        <v>4</v>
      </c>
      <c r="P3" s="31" t="s">
        <v>16</v>
      </c>
      <c r="R3" s="2"/>
      <c r="U3" s="8" t="s">
        <v>17</v>
      </c>
      <c r="V3" s="3">
        <f>D239/V2</f>
        <v>0.82187747780707665</v>
      </c>
      <c r="W3" s="8" t="s">
        <v>18</v>
      </c>
    </row>
    <row r="4" spans="1:23" ht="15" customHeight="1" x14ac:dyDescent="0.25">
      <c r="A4" s="31" t="s">
        <v>19</v>
      </c>
      <c r="B4" s="52">
        <v>100</v>
      </c>
      <c r="C4" s="31" t="s">
        <v>20</v>
      </c>
      <c r="D4" s="52">
        <v>50</v>
      </c>
      <c r="E4" s="31" t="s">
        <v>20</v>
      </c>
      <c r="F4" s="52"/>
      <c r="G4" s="31" t="s">
        <v>20</v>
      </c>
      <c r="H4" s="66">
        <v>2</v>
      </c>
      <c r="I4" s="31" t="s">
        <v>21</v>
      </c>
      <c r="J4" s="31">
        <v>18</v>
      </c>
      <c r="K4" s="31" t="s">
        <v>22</v>
      </c>
      <c r="L4" s="23">
        <f t="shared" ref="L4:L45" si="0">((B4+D4+D4+F4+F4)-H4*2*R4)*H4*0.00785</f>
        <v>3.0143999999999997</v>
      </c>
      <c r="M4" s="31" t="s">
        <v>23</v>
      </c>
      <c r="N4" s="23">
        <f t="shared" ref="N4:N35" si="1">J4*L4</f>
        <v>54.259199999999993</v>
      </c>
      <c r="O4" s="28">
        <f t="shared" ref="O4:O35" si="2">ROUNDUP(J4/6,0)</f>
        <v>3</v>
      </c>
      <c r="P4" s="23">
        <f t="shared" ref="P4:P35" si="3">O4*6*L4</f>
        <v>54.259199999999993</v>
      </c>
      <c r="Q4"/>
      <c r="R4" s="2">
        <v>2</v>
      </c>
      <c r="V4" s="3"/>
    </row>
    <row r="5" spans="1:23" ht="15" customHeight="1" x14ac:dyDescent="0.25">
      <c r="A5" s="31" t="s">
        <v>19</v>
      </c>
      <c r="B5" s="52">
        <v>100</v>
      </c>
      <c r="C5" s="31" t="s">
        <v>20</v>
      </c>
      <c r="D5" s="52">
        <v>50</v>
      </c>
      <c r="E5" s="31" t="s">
        <v>20</v>
      </c>
      <c r="F5" s="52"/>
      <c r="G5" s="31" t="s">
        <v>20</v>
      </c>
      <c r="H5" s="66">
        <v>2.25</v>
      </c>
      <c r="I5" s="31" t="s">
        <v>21</v>
      </c>
      <c r="J5" s="31">
        <v>18</v>
      </c>
      <c r="K5" s="31" t="s">
        <v>22</v>
      </c>
      <c r="L5" s="23">
        <f t="shared" si="0"/>
        <v>3.3735374999999999</v>
      </c>
      <c r="M5" s="31" t="s">
        <v>23</v>
      </c>
      <c r="N5" s="23">
        <f t="shared" si="1"/>
        <v>60.723675</v>
      </c>
      <c r="O5" s="28">
        <f t="shared" si="2"/>
        <v>3</v>
      </c>
      <c r="P5" s="23">
        <f t="shared" si="3"/>
        <v>60.723675</v>
      </c>
      <c r="Q5"/>
      <c r="R5" s="2">
        <v>2</v>
      </c>
      <c r="V5" s="3"/>
    </row>
    <row r="6" spans="1:23" ht="15" customHeight="1" x14ac:dyDescent="0.25">
      <c r="A6" s="31" t="s">
        <v>19</v>
      </c>
      <c r="B6" s="52">
        <v>120</v>
      </c>
      <c r="C6" s="31" t="s">
        <v>20</v>
      </c>
      <c r="D6" s="52">
        <v>40</v>
      </c>
      <c r="E6" s="31" t="s">
        <v>20</v>
      </c>
      <c r="F6" s="52"/>
      <c r="G6" s="31" t="s">
        <v>20</v>
      </c>
      <c r="H6" s="66">
        <v>2.65</v>
      </c>
      <c r="I6" s="31" t="s">
        <v>21</v>
      </c>
      <c r="J6" s="31">
        <v>66</v>
      </c>
      <c r="K6" s="31" t="s">
        <v>22</v>
      </c>
      <c r="L6" s="23">
        <f t="shared" si="0"/>
        <v>3.9399934999999999</v>
      </c>
      <c r="M6" s="31" t="s">
        <v>23</v>
      </c>
      <c r="N6" s="23">
        <f t="shared" si="1"/>
        <v>260.03957100000002</v>
      </c>
      <c r="O6" s="28">
        <f t="shared" si="2"/>
        <v>11</v>
      </c>
      <c r="P6" s="23">
        <f t="shared" si="3"/>
        <v>260.03957100000002</v>
      </c>
      <c r="Q6"/>
      <c r="R6" s="2">
        <v>2</v>
      </c>
      <c r="V6" s="3"/>
    </row>
    <row r="7" spans="1:23" ht="15" customHeight="1" x14ac:dyDescent="0.25">
      <c r="A7" s="31" t="s">
        <v>19</v>
      </c>
      <c r="B7" s="52">
        <v>120</v>
      </c>
      <c r="C7" s="31" t="s">
        <v>20</v>
      </c>
      <c r="D7" s="52">
        <v>50</v>
      </c>
      <c r="E7" s="31" t="s">
        <v>20</v>
      </c>
      <c r="F7" s="52"/>
      <c r="G7" s="31" t="s">
        <v>20</v>
      </c>
      <c r="H7" s="66">
        <v>2.65</v>
      </c>
      <c r="I7" s="31" t="s">
        <v>21</v>
      </c>
      <c r="J7" s="31">
        <v>18</v>
      </c>
      <c r="K7" s="31" t="s">
        <v>22</v>
      </c>
      <c r="L7" s="23">
        <f t="shared" si="0"/>
        <v>4.3560434999999993</v>
      </c>
      <c r="M7" s="31" t="s">
        <v>23</v>
      </c>
      <c r="N7" s="23">
        <f t="shared" si="1"/>
        <v>78.408782999999985</v>
      </c>
      <c r="O7" s="28">
        <f t="shared" si="2"/>
        <v>3</v>
      </c>
      <c r="P7" s="23">
        <f t="shared" si="3"/>
        <v>78.408782999999985</v>
      </c>
      <c r="Q7"/>
      <c r="R7" s="2">
        <v>2</v>
      </c>
      <c r="V7" s="3"/>
    </row>
    <row r="8" spans="1:23" ht="15" customHeight="1" x14ac:dyDescent="0.25">
      <c r="A8" s="31" t="s">
        <v>19</v>
      </c>
      <c r="B8" s="52">
        <v>120</v>
      </c>
      <c r="C8" s="31" t="s">
        <v>20</v>
      </c>
      <c r="D8" s="52">
        <v>40</v>
      </c>
      <c r="E8" s="31" t="s">
        <v>20</v>
      </c>
      <c r="F8" s="52"/>
      <c r="G8" s="31" t="s">
        <v>20</v>
      </c>
      <c r="H8" s="66">
        <v>3</v>
      </c>
      <c r="I8" s="31" t="s">
        <v>21</v>
      </c>
      <c r="J8" s="31">
        <v>18</v>
      </c>
      <c r="K8" s="31" t="s">
        <v>22</v>
      </c>
      <c r="L8" s="23">
        <f t="shared" si="0"/>
        <v>4.4273999999999996</v>
      </c>
      <c r="M8" s="31" t="s">
        <v>23</v>
      </c>
      <c r="N8" s="23">
        <f t="shared" si="1"/>
        <v>79.69319999999999</v>
      </c>
      <c r="O8" s="28">
        <f t="shared" si="2"/>
        <v>3</v>
      </c>
      <c r="P8" s="23">
        <f t="shared" si="3"/>
        <v>79.69319999999999</v>
      </c>
      <c r="Q8"/>
      <c r="R8" s="2">
        <v>2</v>
      </c>
      <c r="V8" s="3"/>
    </row>
    <row r="9" spans="1:23" ht="15" customHeight="1" x14ac:dyDescent="0.25">
      <c r="A9" s="31" t="s">
        <v>19</v>
      </c>
      <c r="B9" s="52">
        <v>120</v>
      </c>
      <c r="C9" s="31" t="s">
        <v>20</v>
      </c>
      <c r="D9" s="52">
        <v>40</v>
      </c>
      <c r="E9" s="31" t="s">
        <v>20</v>
      </c>
      <c r="F9" s="52"/>
      <c r="G9" s="31" t="s">
        <v>20</v>
      </c>
      <c r="H9" s="66">
        <v>3</v>
      </c>
      <c r="I9" s="31" t="s">
        <v>21</v>
      </c>
      <c r="J9" s="31">
        <v>6</v>
      </c>
      <c r="K9" s="31" t="s">
        <v>22</v>
      </c>
      <c r="L9" s="23">
        <f t="shared" si="0"/>
        <v>4.4273999999999996</v>
      </c>
      <c r="M9" s="31" t="s">
        <v>23</v>
      </c>
      <c r="N9" s="23">
        <f t="shared" si="1"/>
        <v>26.564399999999999</v>
      </c>
      <c r="O9" s="28">
        <f t="shared" si="2"/>
        <v>1</v>
      </c>
      <c r="P9" s="23">
        <f t="shared" si="3"/>
        <v>26.564399999999999</v>
      </c>
      <c r="Q9"/>
      <c r="R9" s="2">
        <v>2</v>
      </c>
      <c r="V9" s="3"/>
    </row>
    <row r="10" spans="1:23" ht="15" customHeight="1" x14ac:dyDescent="0.25">
      <c r="A10" s="31" t="s">
        <v>19</v>
      </c>
      <c r="B10" s="52"/>
      <c r="C10" s="31" t="s">
        <v>20</v>
      </c>
      <c r="D10" s="52"/>
      <c r="E10" s="31" t="s">
        <v>20</v>
      </c>
      <c r="F10" s="52"/>
      <c r="G10" s="31" t="s">
        <v>20</v>
      </c>
      <c r="H10" s="66"/>
      <c r="I10" s="31" t="s">
        <v>21</v>
      </c>
      <c r="J10" s="31"/>
      <c r="K10" s="31" t="s">
        <v>22</v>
      </c>
      <c r="L10" s="23">
        <f t="shared" si="0"/>
        <v>0</v>
      </c>
      <c r="M10" s="31" t="s">
        <v>23</v>
      </c>
      <c r="N10" s="23">
        <f t="shared" si="1"/>
        <v>0</v>
      </c>
      <c r="O10" s="28">
        <f t="shared" si="2"/>
        <v>0</v>
      </c>
      <c r="P10" s="23">
        <f t="shared" si="3"/>
        <v>0</v>
      </c>
      <c r="Q10"/>
      <c r="R10" s="2"/>
      <c r="V10" s="3"/>
    </row>
    <row r="11" spans="1:23" ht="15" customHeight="1" x14ac:dyDescent="0.25">
      <c r="A11" s="31" t="s">
        <v>19</v>
      </c>
      <c r="B11" s="52"/>
      <c r="C11" s="31" t="s">
        <v>20</v>
      </c>
      <c r="D11" s="52"/>
      <c r="E11" s="31" t="s">
        <v>20</v>
      </c>
      <c r="F11" s="52"/>
      <c r="G11" s="31" t="s">
        <v>20</v>
      </c>
      <c r="H11" s="66"/>
      <c r="I11" s="31" t="s">
        <v>21</v>
      </c>
      <c r="J11" s="31"/>
      <c r="K11" s="31" t="s">
        <v>22</v>
      </c>
      <c r="L11" s="23">
        <f t="shared" si="0"/>
        <v>0</v>
      </c>
      <c r="M11" s="31" t="s">
        <v>23</v>
      </c>
      <c r="N11" s="23">
        <f t="shared" si="1"/>
        <v>0</v>
      </c>
      <c r="O11" s="28">
        <f t="shared" si="2"/>
        <v>0</v>
      </c>
      <c r="P11" s="23">
        <f t="shared" si="3"/>
        <v>0</v>
      </c>
      <c r="Q11"/>
      <c r="R11" s="2"/>
      <c r="V11" s="3"/>
    </row>
    <row r="12" spans="1:23" ht="15" customHeight="1" x14ac:dyDescent="0.25">
      <c r="A12" s="31" t="s">
        <v>19</v>
      </c>
      <c r="B12" s="52"/>
      <c r="C12" s="31" t="s">
        <v>20</v>
      </c>
      <c r="D12" s="52"/>
      <c r="E12" s="31" t="s">
        <v>20</v>
      </c>
      <c r="F12" s="52"/>
      <c r="G12" s="31" t="s">
        <v>20</v>
      </c>
      <c r="H12" s="66"/>
      <c r="I12" s="31" t="s">
        <v>21</v>
      </c>
      <c r="J12" s="31"/>
      <c r="K12" s="31" t="s">
        <v>22</v>
      </c>
      <c r="L12" s="23">
        <f t="shared" si="0"/>
        <v>0</v>
      </c>
      <c r="M12" s="31" t="s">
        <v>23</v>
      </c>
      <c r="N12" s="23">
        <f t="shared" si="1"/>
        <v>0</v>
      </c>
      <c r="O12" s="28">
        <f t="shared" si="2"/>
        <v>0</v>
      </c>
      <c r="P12" s="23">
        <f t="shared" si="3"/>
        <v>0</v>
      </c>
      <c r="Q12"/>
      <c r="R12" s="2"/>
      <c r="V12" s="3"/>
    </row>
    <row r="13" spans="1:23" ht="15" customHeight="1" x14ac:dyDescent="0.25">
      <c r="A13" s="31" t="s">
        <v>19</v>
      </c>
      <c r="B13" s="52"/>
      <c r="C13" s="31" t="s">
        <v>20</v>
      </c>
      <c r="D13" s="52"/>
      <c r="E13" s="31" t="s">
        <v>20</v>
      </c>
      <c r="F13" s="52"/>
      <c r="G13" s="31" t="s">
        <v>20</v>
      </c>
      <c r="H13" s="66"/>
      <c r="I13" s="31" t="s">
        <v>21</v>
      </c>
      <c r="J13" s="31"/>
      <c r="K13" s="31" t="s">
        <v>22</v>
      </c>
      <c r="L13" s="23">
        <f t="shared" si="0"/>
        <v>0</v>
      </c>
      <c r="M13" s="31" t="s">
        <v>23</v>
      </c>
      <c r="N13" s="23">
        <f t="shared" si="1"/>
        <v>0</v>
      </c>
      <c r="O13" s="28">
        <f t="shared" si="2"/>
        <v>0</v>
      </c>
      <c r="P13" s="23">
        <f t="shared" si="3"/>
        <v>0</v>
      </c>
      <c r="Q13"/>
      <c r="R13" s="2"/>
      <c r="V13" s="3"/>
    </row>
    <row r="14" spans="1:23" ht="15" customHeight="1" x14ac:dyDescent="0.25">
      <c r="A14" s="31" t="s">
        <v>19</v>
      </c>
      <c r="B14" s="52"/>
      <c r="C14" s="31" t="s">
        <v>20</v>
      </c>
      <c r="D14" s="52"/>
      <c r="E14" s="31" t="s">
        <v>20</v>
      </c>
      <c r="F14" s="52"/>
      <c r="G14" s="31" t="s">
        <v>20</v>
      </c>
      <c r="H14" s="66"/>
      <c r="I14" s="31" t="s">
        <v>21</v>
      </c>
      <c r="J14" s="31"/>
      <c r="K14" s="31" t="s">
        <v>22</v>
      </c>
      <c r="L14" s="23">
        <f t="shared" si="0"/>
        <v>0</v>
      </c>
      <c r="M14" s="31" t="s">
        <v>23</v>
      </c>
      <c r="N14" s="23">
        <f t="shared" si="1"/>
        <v>0</v>
      </c>
      <c r="O14" s="28">
        <f t="shared" si="2"/>
        <v>0</v>
      </c>
      <c r="P14" s="23">
        <f t="shared" si="3"/>
        <v>0</v>
      </c>
      <c r="Q14"/>
      <c r="R14" s="2"/>
      <c r="V14" s="3"/>
    </row>
    <row r="15" spans="1:23" ht="15" customHeight="1" x14ac:dyDescent="0.25">
      <c r="A15" s="31" t="s">
        <v>19</v>
      </c>
      <c r="B15" s="52"/>
      <c r="C15" s="31" t="s">
        <v>20</v>
      </c>
      <c r="D15" s="52"/>
      <c r="E15" s="31" t="s">
        <v>20</v>
      </c>
      <c r="F15" s="52"/>
      <c r="G15" s="31" t="s">
        <v>20</v>
      </c>
      <c r="H15" s="66"/>
      <c r="I15" s="31" t="s">
        <v>21</v>
      </c>
      <c r="J15" s="31"/>
      <c r="K15" s="31" t="s">
        <v>22</v>
      </c>
      <c r="L15" s="23">
        <f t="shared" si="0"/>
        <v>0</v>
      </c>
      <c r="M15" s="31" t="s">
        <v>23</v>
      </c>
      <c r="N15" s="23">
        <f t="shared" si="1"/>
        <v>0</v>
      </c>
      <c r="O15" s="28">
        <f t="shared" si="2"/>
        <v>0</v>
      </c>
      <c r="P15" s="23">
        <f t="shared" si="3"/>
        <v>0</v>
      </c>
      <c r="Q15"/>
      <c r="R15" s="2"/>
      <c r="V15" s="3"/>
    </row>
    <row r="16" spans="1:23" ht="15" customHeight="1" x14ac:dyDescent="0.25">
      <c r="A16" s="31" t="s">
        <v>19</v>
      </c>
      <c r="B16" s="52"/>
      <c r="C16" s="31" t="s">
        <v>20</v>
      </c>
      <c r="D16" s="52"/>
      <c r="E16" s="31" t="s">
        <v>20</v>
      </c>
      <c r="F16" s="52"/>
      <c r="G16" s="31" t="s">
        <v>20</v>
      </c>
      <c r="H16" s="66"/>
      <c r="I16" s="31" t="s">
        <v>21</v>
      </c>
      <c r="J16" s="31"/>
      <c r="K16" s="31" t="s">
        <v>22</v>
      </c>
      <c r="L16" s="23">
        <f t="shared" si="0"/>
        <v>0</v>
      </c>
      <c r="M16" s="31" t="s">
        <v>23</v>
      </c>
      <c r="N16" s="23">
        <f t="shared" si="1"/>
        <v>0</v>
      </c>
      <c r="O16" s="28">
        <f t="shared" si="2"/>
        <v>0</v>
      </c>
      <c r="P16" s="23">
        <f t="shared" si="3"/>
        <v>0</v>
      </c>
      <c r="R16" s="2"/>
      <c r="V16" s="3"/>
    </row>
    <row r="17" spans="1:22" ht="15" customHeight="1" x14ac:dyDescent="0.25">
      <c r="A17" s="31" t="s">
        <v>19</v>
      </c>
      <c r="B17" s="52"/>
      <c r="C17" s="31" t="s">
        <v>20</v>
      </c>
      <c r="D17" s="52"/>
      <c r="E17" s="31" t="s">
        <v>20</v>
      </c>
      <c r="F17" s="52"/>
      <c r="G17" s="31" t="s">
        <v>20</v>
      </c>
      <c r="H17" s="66"/>
      <c r="I17" s="31" t="s">
        <v>21</v>
      </c>
      <c r="J17" s="31"/>
      <c r="K17" s="31" t="s">
        <v>22</v>
      </c>
      <c r="L17" s="23">
        <f t="shared" si="0"/>
        <v>0</v>
      </c>
      <c r="M17" s="31" t="s">
        <v>23</v>
      </c>
      <c r="N17" s="23">
        <f t="shared" si="1"/>
        <v>0</v>
      </c>
      <c r="O17" s="28">
        <f t="shared" si="2"/>
        <v>0</v>
      </c>
      <c r="P17" s="23">
        <f t="shared" si="3"/>
        <v>0</v>
      </c>
      <c r="R17" s="2"/>
      <c r="V17" s="3"/>
    </row>
    <row r="18" spans="1:22" ht="15" customHeight="1" x14ac:dyDescent="0.25">
      <c r="A18" s="31" t="s">
        <v>19</v>
      </c>
      <c r="B18" s="52"/>
      <c r="C18" s="31" t="s">
        <v>20</v>
      </c>
      <c r="D18" s="52"/>
      <c r="E18" s="31" t="s">
        <v>20</v>
      </c>
      <c r="F18" s="52"/>
      <c r="G18" s="31" t="s">
        <v>20</v>
      </c>
      <c r="H18" s="66"/>
      <c r="I18" s="31" t="s">
        <v>21</v>
      </c>
      <c r="J18" s="31"/>
      <c r="K18" s="31" t="s">
        <v>22</v>
      </c>
      <c r="L18" s="23">
        <f t="shared" si="0"/>
        <v>0</v>
      </c>
      <c r="M18" s="31" t="s">
        <v>23</v>
      </c>
      <c r="N18" s="23">
        <f t="shared" si="1"/>
        <v>0</v>
      </c>
      <c r="O18" s="28">
        <f t="shared" si="2"/>
        <v>0</v>
      </c>
      <c r="P18" s="23">
        <f t="shared" si="3"/>
        <v>0</v>
      </c>
      <c r="R18" s="2"/>
      <c r="V18" s="3"/>
    </row>
    <row r="19" spans="1:22" ht="15" customHeight="1" x14ac:dyDescent="0.25">
      <c r="A19" s="31" t="s">
        <v>19</v>
      </c>
      <c r="B19" s="52"/>
      <c r="C19" s="31" t="s">
        <v>20</v>
      </c>
      <c r="D19" s="52"/>
      <c r="E19" s="31" t="s">
        <v>20</v>
      </c>
      <c r="F19" s="52"/>
      <c r="G19" s="31" t="s">
        <v>20</v>
      </c>
      <c r="H19" s="66"/>
      <c r="I19" s="31" t="s">
        <v>21</v>
      </c>
      <c r="J19" s="31"/>
      <c r="K19" s="31" t="s">
        <v>22</v>
      </c>
      <c r="L19" s="23">
        <f t="shared" si="0"/>
        <v>0</v>
      </c>
      <c r="M19" s="31" t="s">
        <v>23</v>
      </c>
      <c r="N19" s="23">
        <f t="shared" si="1"/>
        <v>0</v>
      </c>
      <c r="O19" s="28">
        <f t="shared" si="2"/>
        <v>0</v>
      </c>
      <c r="P19" s="23">
        <f t="shared" si="3"/>
        <v>0</v>
      </c>
      <c r="R19" s="2"/>
      <c r="V19" s="3"/>
    </row>
    <row r="20" spans="1:22" ht="15" customHeight="1" x14ac:dyDescent="0.25">
      <c r="A20" s="31" t="s">
        <v>19</v>
      </c>
      <c r="B20" s="52"/>
      <c r="C20" s="31" t="s">
        <v>20</v>
      </c>
      <c r="D20" s="52"/>
      <c r="E20" s="31" t="s">
        <v>20</v>
      </c>
      <c r="F20" s="52"/>
      <c r="G20" s="31" t="s">
        <v>20</v>
      </c>
      <c r="H20" s="66"/>
      <c r="I20" s="31" t="s">
        <v>21</v>
      </c>
      <c r="J20" s="31"/>
      <c r="K20" s="31" t="s">
        <v>22</v>
      </c>
      <c r="L20" s="23">
        <f t="shared" si="0"/>
        <v>0</v>
      </c>
      <c r="M20" s="31" t="s">
        <v>23</v>
      </c>
      <c r="N20" s="23">
        <f t="shared" si="1"/>
        <v>0</v>
      </c>
      <c r="O20" s="28">
        <f t="shared" si="2"/>
        <v>0</v>
      </c>
      <c r="P20" s="23">
        <f t="shared" si="3"/>
        <v>0</v>
      </c>
      <c r="R20" s="2"/>
      <c r="V20" s="3"/>
    </row>
    <row r="21" spans="1:22" ht="15" customHeight="1" x14ac:dyDescent="0.25">
      <c r="A21" s="31" t="s">
        <v>19</v>
      </c>
      <c r="B21" s="52"/>
      <c r="C21" s="31" t="s">
        <v>20</v>
      </c>
      <c r="D21" s="52"/>
      <c r="E21" s="31" t="s">
        <v>20</v>
      </c>
      <c r="F21" s="52"/>
      <c r="G21" s="31" t="s">
        <v>20</v>
      </c>
      <c r="H21" s="66"/>
      <c r="I21" s="31" t="s">
        <v>21</v>
      </c>
      <c r="J21" s="31"/>
      <c r="K21" s="31" t="s">
        <v>22</v>
      </c>
      <c r="L21" s="23">
        <f t="shared" si="0"/>
        <v>0</v>
      </c>
      <c r="M21" s="31" t="s">
        <v>23</v>
      </c>
      <c r="N21" s="23">
        <f t="shared" si="1"/>
        <v>0</v>
      </c>
      <c r="O21" s="28">
        <f t="shared" si="2"/>
        <v>0</v>
      </c>
      <c r="P21" s="23">
        <f t="shared" si="3"/>
        <v>0</v>
      </c>
      <c r="R21" s="2"/>
      <c r="V21" s="3"/>
    </row>
    <row r="22" spans="1:22" ht="15" customHeight="1" x14ac:dyDescent="0.25">
      <c r="A22" s="31" t="s">
        <v>19</v>
      </c>
      <c r="B22" s="52"/>
      <c r="C22" s="31" t="s">
        <v>20</v>
      </c>
      <c r="D22" s="52"/>
      <c r="E22" s="31" t="s">
        <v>20</v>
      </c>
      <c r="F22" s="52"/>
      <c r="G22" s="31" t="s">
        <v>20</v>
      </c>
      <c r="H22" s="66"/>
      <c r="I22" s="31" t="s">
        <v>21</v>
      </c>
      <c r="J22" s="31"/>
      <c r="K22" s="31" t="s">
        <v>22</v>
      </c>
      <c r="L22" s="23">
        <f t="shared" si="0"/>
        <v>0</v>
      </c>
      <c r="M22" s="31" t="s">
        <v>23</v>
      </c>
      <c r="N22" s="23">
        <f t="shared" si="1"/>
        <v>0</v>
      </c>
      <c r="O22" s="28">
        <f t="shared" si="2"/>
        <v>0</v>
      </c>
      <c r="P22" s="23">
        <f t="shared" si="3"/>
        <v>0</v>
      </c>
      <c r="R22" s="2"/>
      <c r="V22" s="3"/>
    </row>
    <row r="23" spans="1:22" ht="15" customHeight="1" x14ac:dyDescent="0.25">
      <c r="A23" s="31" t="s">
        <v>19</v>
      </c>
      <c r="B23" s="52"/>
      <c r="C23" s="31" t="s">
        <v>20</v>
      </c>
      <c r="D23" s="52"/>
      <c r="E23" s="31" t="s">
        <v>20</v>
      </c>
      <c r="F23" s="52"/>
      <c r="G23" s="31" t="s">
        <v>20</v>
      </c>
      <c r="H23" s="66"/>
      <c r="I23" s="31" t="s">
        <v>21</v>
      </c>
      <c r="J23" s="31"/>
      <c r="K23" s="31" t="s">
        <v>22</v>
      </c>
      <c r="L23" s="23">
        <f t="shared" si="0"/>
        <v>0</v>
      </c>
      <c r="M23" s="31" t="s">
        <v>23</v>
      </c>
      <c r="N23" s="23">
        <f t="shared" si="1"/>
        <v>0</v>
      </c>
      <c r="O23" s="28">
        <f t="shared" si="2"/>
        <v>0</v>
      </c>
      <c r="P23" s="23">
        <f t="shared" si="3"/>
        <v>0</v>
      </c>
      <c r="R23" s="2"/>
      <c r="V23" s="3"/>
    </row>
    <row r="24" spans="1:22" ht="15" customHeight="1" x14ac:dyDescent="0.25">
      <c r="A24" s="31" t="s">
        <v>19</v>
      </c>
      <c r="B24" s="52"/>
      <c r="C24" s="31" t="s">
        <v>20</v>
      </c>
      <c r="D24" s="52"/>
      <c r="E24" s="31" t="s">
        <v>20</v>
      </c>
      <c r="F24" s="52"/>
      <c r="G24" s="31" t="s">
        <v>20</v>
      </c>
      <c r="H24" s="66"/>
      <c r="I24" s="31" t="s">
        <v>21</v>
      </c>
      <c r="J24" s="31"/>
      <c r="K24" s="31" t="s">
        <v>22</v>
      </c>
      <c r="L24" s="23">
        <f t="shared" si="0"/>
        <v>0</v>
      </c>
      <c r="M24" s="31" t="s">
        <v>23</v>
      </c>
      <c r="N24" s="23">
        <f t="shared" si="1"/>
        <v>0</v>
      </c>
      <c r="O24" s="28">
        <f t="shared" si="2"/>
        <v>0</v>
      </c>
      <c r="P24" s="23">
        <f t="shared" si="3"/>
        <v>0</v>
      </c>
      <c r="R24" s="2"/>
      <c r="V24" s="3"/>
    </row>
    <row r="25" spans="1:22" ht="15" customHeight="1" x14ac:dyDescent="0.25">
      <c r="A25" s="31" t="s">
        <v>19</v>
      </c>
      <c r="B25" s="52"/>
      <c r="C25" s="31" t="s">
        <v>20</v>
      </c>
      <c r="D25" s="52"/>
      <c r="E25" s="31" t="s">
        <v>20</v>
      </c>
      <c r="F25" s="52"/>
      <c r="G25" s="31" t="s">
        <v>20</v>
      </c>
      <c r="H25" s="66"/>
      <c r="I25" s="31" t="s">
        <v>21</v>
      </c>
      <c r="J25" s="31"/>
      <c r="K25" s="31" t="s">
        <v>22</v>
      </c>
      <c r="L25" s="23">
        <f t="shared" si="0"/>
        <v>0</v>
      </c>
      <c r="M25" s="31" t="s">
        <v>23</v>
      </c>
      <c r="N25" s="23">
        <f t="shared" si="1"/>
        <v>0</v>
      </c>
      <c r="O25" s="28">
        <f t="shared" si="2"/>
        <v>0</v>
      </c>
      <c r="P25" s="23">
        <f t="shared" si="3"/>
        <v>0</v>
      </c>
      <c r="R25" s="2"/>
      <c r="V25" s="3"/>
    </row>
    <row r="26" spans="1:22" ht="15" customHeight="1" x14ac:dyDescent="0.25">
      <c r="A26" s="31" t="s">
        <v>19</v>
      </c>
      <c r="B26" s="52"/>
      <c r="C26" s="31" t="s">
        <v>20</v>
      </c>
      <c r="D26" s="52"/>
      <c r="E26" s="31" t="s">
        <v>20</v>
      </c>
      <c r="F26" s="52"/>
      <c r="G26" s="31" t="s">
        <v>20</v>
      </c>
      <c r="H26" s="66"/>
      <c r="I26" s="31" t="s">
        <v>21</v>
      </c>
      <c r="J26" s="31"/>
      <c r="K26" s="31" t="s">
        <v>22</v>
      </c>
      <c r="L26" s="23">
        <f t="shared" si="0"/>
        <v>0</v>
      </c>
      <c r="M26" s="31" t="s">
        <v>23</v>
      </c>
      <c r="N26" s="23">
        <f t="shared" si="1"/>
        <v>0</v>
      </c>
      <c r="O26" s="28">
        <f t="shared" si="2"/>
        <v>0</v>
      </c>
      <c r="P26" s="23">
        <f t="shared" si="3"/>
        <v>0</v>
      </c>
      <c r="R26" s="2"/>
      <c r="V26" s="3"/>
    </row>
    <row r="27" spans="1:22" ht="15" customHeight="1" x14ac:dyDescent="0.25">
      <c r="A27" s="31" t="s">
        <v>19</v>
      </c>
      <c r="B27" s="52"/>
      <c r="C27" s="31" t="s">
        <v>20</v>
      </c>
      <c r="D27" s="52"/>
      <c r="E27" s="31" t="s">
        <v>20</v>
      </c>
      <c r="F27" s="52"/>
      <c r="G27" s="31" t="s">
        <v>20</v>
      </c>
      <c r="H27" s="66"/>
      <c r="I27" s="31" t="s">
        <v>21</v>
      </c>
      <c r="J27" s="31"/>
      <c r="K27" s="31" t="s">
        <v>22</v>
      </c>
      <c r="L27" s="23">
        <f t="shared" si="0"/>
        <v>0</v>
      </c>
      <c r="M27" s="31" t="s">
        <v>23</v>
      </c>
      <c r="N27" s="23">
        <f t="shared" si="1"/>
        <v>0</v>
      </c>
      <c r="O27" s="28">
        <f t="shared" si="2"/>
        <v>0</v>
      </c>
      <c r="P27" s="23">
        <f t="shared" si="3"/>
        <v>0</v>
      </c>
      <c r="R27" s="2"/>
      <c r="V27" s="3"/>
    </row>
    <row r="28" spans="1:22" ht="15" customHeight="1" x14ac:dyDescent="0.25">
      <c r="A28" s="31" t="s">
        <v>19</v>
      </c>
      <c r="B28" s="52"/>
      <c r="C28" s="31" t="s">
        <v>20</v>
      </c>
      <c r="D28" s="52"/>
      <c r="E28" s="31" t="s">
        <v>20</v>
      </c>
      <c r="F28" s="52"/>
      <c r="G28" s="31" t="s">
        <v>20</v>
      </c>
      <c r="H28" s="66"/>
      <c r="I28" s="31" t="s">
        <v>21</v>
      </c>
      <c r="J28" s="31"/>
      <c r="K28" s="31" t="s">
        <v>22</v>
      </c>
      <c r="L28" s="23">
        <f t="shared" si="0"/>
        <v>0</v>
      </c>
      <c r="M28" s="31" t="s">
        <v>23</v>
      </c>
      <c r="N28" s="23">
        <f t="shared" si="1"/>
        <v>0</v>
      </c>
      <c r="O28" s="28">
        <f t="shared" si="2"/>
        <v>0</v>
      </c>
      <c r="P28" s="23">
        <f t="shared" si="3"/>
        <v>0</v>
      </c>
      <c r="R28" s="2"/>
      <c r="V28" s="3"/>
    </row>
    <row r="29" spans="1:22" ht="15" customHeight="1" x14ac:dyDescent="0.25">
      <c r="A29" s="31" t="s">
        <v>19</v>
      </c>
      <c r="B29" s="52"/>
      <c r="C29" s="31" t="s">
        <v>20</v>
      </c>
      <c r="D29" s="52"/>
      <c r="E29" s="31" t="s">
        <v>20</v>
      </c>
      <c r="F29" s="52"/>
      <c r="G29" s="31" t="s">
        <v>20</v>
      </c>
      <c r="H29" s="66"/>
      <c r="I29" s="31" t="s">
        <v>21</v>
      </c>
      <c r="J29" s="31"/>
      <c r="K29" s="31" t="s">
        <v>22</v>
      </c>
      <c r="L29" s="23">
        <f t="shared" si="0"/>
        <v>0</v>
      </c>
      <c r="M29" s="31" t="s">
        <v>23</v>
      </c>
      <c r="N29" s="23">
        <f t="shared" si="1"/>
        <v>0</v>
      </c>
      <c r="O29" s="28">
        <f t="shared" si="2"/>
        <v>0</v>
      </c>
      <c r="P29" s="23">
        <f t="shared" si="3"/>
        <v>0</v>
      </c>
      <c r="R29" s="2"/>
      <c r="V29" s="3"/>
    </row>
    <row r="30" spans="1:22" ht="15" customHeight="1" x14ac:dyDescent="0.25">
      <c r="A30" s="31" t="s">
        <v>19</v>
      </c>
      <c r="B30" s="52"/>
      <c r="C30" s="31" t="s">
        <v>20</v>
      </c>
      <c r="D30" s="52"/>
      <c r="E30" s="31" t="s">
        <v>20</v>
      </c>
      <c r="F30" s="52"/>
      <c r="G30" s="31" t="s">
        <v>20</v>
      </c>
      <c r="H30" s="66"/>
      <c r="I30" s="31" t="s">
        <v>21</v>
      </c>
      <c r="J30" s="31"/>
      <c r="K30" s="31" t="s">
        <v>22</v>
      </c>
      <c r="L30" s="23">
        <f t="shared" si="0"/>
        <v>0</v>
      </c>
      <c r="M30" s="31" t="s">
        <v>23</v>
      </c>
      <c r="N30" s="23">
        <f t="shared" si="1"/>
        <v>0</v>
      </c>
      <c r="O30" s="28">
        <f t="shared" si="2"/>
        <v>0</v>
      </c>
      <c r="P30" s="23">
        <f t="shared" si="3"/>
        <v>0</v>
      </c>
      <c r="R30" s="2"/>
      <c r="V30" s="3"/>
    </row>
    <row r="31" spans="1:22" ht="15" customHeight="1" x14ac:dyDescent="0.25">
      <c r="A31" s="31" t="s">
        <v>19</v>
      </c>
      <c r="B31" s="52"/>
      <c r="C31" s="31" t="s">
        <v>20</v>
      </c>
      <c r="D31" s="52"/>
      <c r="E31" s="31" t="s">
        <v>20</v>
      </c>
      <c r="F31" s="52"/>
      <c r="G31" s="31" t="s">
        <v>20</v>
      </c>
      <c r="H31" s="66"/>
      <c r="I31" s="31" t="s">
        <v>21</v>
      </c>
      <c r="J31" s="31"/>
      <c r="K31" s="31" t="s">
        <v>22</v>
      </c>
      <c r="L31" s="23">
        <f t="shared" si="0"/>
        <v>0</v>
      </c>
      <c r="M31" s="31" t="s">
        <v>23</v>
      </c>
      <c r="N31" s="23">
        <f t="shared" si="1"/>
        <v>0</v>
      </c>
      <c r="O31" s="28">
        <f t="shared" si="2"/>
        <v>0</v>
      </c>
      <c r="P31" s="23">
        <f t="shared" si="3"/>
        <v>0</v>
      </c>
      <c r="R31" s="2"/>
      <c r="V31" s="3"/>
    </row>
    <row r="32" spans="1:22" ht="15" customHeight="1" x14ac:dyDescent="0.25">
      <c r="A32" s="31" t="s">
        <v>19</v>
      </c>
      <c r="B32" s="52"/>
      <c r="C32" s="31" t="s">
        <v>20</v>
      </c>
      <c r="D32" s="52"/>
      <c r="E32" s="31" t="s">
        <v>20</v>
      </c>
      <c r="F32" s="52"/>
      <c r="G32" s="31" t="s">
        <v>20</v>
      </c>
      <c r="H32" s="66"/>
      <c r="I32" s="31" t="s">
        <v>21</v>
      </c>
      <c r="J32" s="31"/>
      <c r="K32" s="31" t="s">
        <v>22</v>
      </c>
      <c r="L32" s="23">
        <f t="shared" si="0"/>
        <v>0</v>
      </c>
      <c r="M32" s="31" t="s">
        <v>23</v>
      </c>
      <c r="N32" s="23">
        <f t="shared" si="1"/>
        <v>0</v>
      </c>
      <c r="O32" s="28">
        <f t="shared" si="2"/>
        <v>0</v>
      </c>
      <c r="P32" s="23">
        <f t="shared" si="3"/>
        <v>0</v>
      </c>
      <c r="R32" s="2"/>
      <c r="V32" s="3"/>
    </row>
    <row r="33" spans="1:25" ht="15" customHeight="1" x14ac:dyDescent="0.25">
      <c r="A33" s="31" t="s">
        <v>19</v>
      </c>
      <c r="B33" s="52"/>
      <c r="C33" s="31" t="s">
        <v>20</v>
      </c>
      <c r="D33" s="52"/>
      <c r="E33" s="31" t="s">
        <v>20</v>
      </c>
      <c r="F33" s="52"/>
      <c r="G33" s="31" t="s">
        <v>20</v>
      </c>
      <c r="H33" s="66"/>
      <c r="I33" s="31" t="s">
        <v>21</v>
      </c>
      <c r="J33" s="31"/>
      <c r="K33" s="31" t="s">
        <v>22</v>
      </c>
      <c r="L33" s="23">
        <f t="shared" si="0"/>
        <v>0</v>
      </c>
      <c r="M33" s="31" t="s">
        <v>23</v>
      </c>
      <c r="N33" s="23">
        <f t="shared" si="1"/>
        <v>0</v>
      </c>
      <c r="O33" s="28">
        <f t="shared" si="2"/>
        <v>0</v>
      </c>
      <c r="P33" s="23">
        <f t="shared" si="3"/>
        <v>0</v>
      </c>
      <c r="R33" s="2"/>
      <c r="V33" s="3"/>
    </row>
    <row r="34" spans="1:25" ht="15" customHeight="1" x14ac:dyDescent="0.25">
      <c r="A34" s="31" t="s">
        <v>19</v>
      </c>
      <c r="B34" s="52"/>
      <c r="C34" s="31" t="s">
        <v>20</v>
      </c>
      <c r="D34" s="52"/>
      <c r="E34" s="31" t="s">
        <v>20</v>
      </c>
      <c r="F34" s="52"/>
      <c r="G34" s="31" t="s">
        <v>20</v>
      </c>
      <c r="H34" s="66"/>
      <c r="I34" s="31" t="s">
        <v>21</v>
      </c>
      <c r="J34" s="31"/>
      <c r="K34" s="31" t="s">
        <v>22</v>
      </c>
      <c r="L34" s="23">
        <f t="shared" si="0"/>
        <v>0</v>
      </c>
      <c r="M34" s="31" t="s">
        <v>23</v>
      </c>
      <c r="N34" s="23">
        <f t="shared" si="1"/>
        <v>0</v>
      </c>
      <c r="O34" s="28">
        <f t="shared" si="2"/>
        <v>0</v>
      </c>
      <c r="P34" s="23">
        <f t="shared" si="3"/>
        <v>0</v>
      </c>
      <c r="R34" s="2">
        <v>2</v>
      </c>
      <c r="S34" s="8">
        <f t="shared" ref="S34:S45" si="4">O34*6-J34</f>
        <v>0</v>
      </c>
      <c r="U34" s="8" t="s">
        <v>24</v>
      </c>
      <c r="V34" s="4">
        <f>(P229/N229)-1</f>
        <v>1.8193348957030286E-2</v>
      </c>
      <c r="Y34" s="8" t="s">
        <v>25</v>
      </c>
    </row>
    <row r="35" spans="1:25" ht="15" customHeight="1" x14ac:dyDescent="0.25">
      <c r="A35" s="31" t="s">
        <v>19</v>
      </c>
      <c r="B35" s="52"/>
      <c r="C35" s="31" t="s">
        <v>20</v>
      </c>
      <c r="D35" s="52"/>
      <c r="E35" s="31" t="s">
        <v>20</v>
      </c>
      <c r="F35" s="52"/>
      <c r="G35" s="31" t="s">
        <v>20</v>
      </c>
      <c r="H35" s="66"/>
      <c r="I35" s="31" t="s">
        <v>21</v>
      </c>
      <c r="J35" s="31"/>
      <c r="K35" s="31" t="s">
        <v>22</v>
      </c>
      <c r="L35" s="23">
        <f t="shared" si="0"/>
        <v>0</v>
      </c>
      <c r="M35" s="31" t="s">
        <v>23</v>
      </c>
      <c r="N35" s="23">
        <f t="shared" si="1"/>
        <v>0</v>
      </c>
      <c r="O35" s="28">
        <f t="shared" si="2"/>
        <v>0</v>
      </c>
      <c r="P35" s="23">
        <f t="shared" si="3"/>
        <v>0</v>
      </c>
      <c r="R35" s="2">
        <v>2</v>
      </c>
      <c r="S35" s="8">
        <f t="shared" si="4"/>
        <v>0</v>
      </c>
    </row>
    <row r="36" spans="1:25" ht="15" customHeight="1" x14ac:dyDescent="0.25">
      <c r="A36" s="31" t="s">
        <v>19</v>
      </c>
      <c r="B36" s="52"/>
      <c r="C36" s="31" t="s">
        <v>20</v>
      </c>
      <c r="D36" s="52"/>
      <c r="E36" s="31" t="s">
        <v>20</v>
      </c>
      <c r="F36" s="52"/>
      <c r="G36" s="31" t="s">
        <v>20</v>
      </c>
      <c r="H36" s="66"/>
      <c r="I36" s="31" t="s">
        <v>21</v>
      </c>
      <c r="J36" s="31"/>
      <c r="K36" s="31" t="s">
        <v>22</v>
      </c>
      <c r="L36" s="23">
        <f t="shared" si="0"/>
        <v>0</v>
      </c>
      <c r="M36" s="31" t="s">
        <v>23</v>
      </c>
      <c r="N36" s="23">
        <f t="shared" ref="N36:N67" si="5">J36*L36</f>
        <v>0</v>
      </c>
      <c r="O36" s="28">
        <f t="shared" ref="O36:O67" si="6">ROUNDUP(J36/6,0)</f>
        <v>0</v>
      </c>
      <c r="P36" s="23">
        <f t="shared" ref="P36:P67" si="7">O36*6*L36</f>
        <v>0</v>
      </c>
      <c r="R36" s="2">
        <v>2</v>
      </c>
      <c r="S36" s="8">
        <f t="shared" si="4"/>
        <v>0</v>
      </c>
    </row>
    <row r="37" spans="1:25" ht="15" customHeight="1" x14ac:dyDescent="0.25">
      <c r="A37" s="31" t="s">
        <v>19</v>
      </c>
      <c r="B37" s="52"/>
      <c r="C37" s="31" t="s">
        <v>20</v>
      </c>
      <c r="D37" s="52"/>
      <c r="E37" s="31" t="s">
        <v>20</v>
      </c>
      <c r="F37" s="52"/>
      <c r="G37" s="31" t="s">
        <v>20</v>
      </c>
      <c r="H37" s="66"/>
      <c r="I37" s="31" t="s">
        <v>21</v>
      </c>
      <c r="J37" s="31"/>
      <c r="K37" s="31" t="s">
        <v>22</v>
      </c>
      <c r="L37" s="23">
        <f t="shared" si="0"/>
        <v>0</v>
      </c>
      <c r="M37" s="31" t="s">
        <v>23</v>
      </c>
      <c r="N37" s="23">
        <f t="shared" si="5"/>
        <v>0</v>
      </c>
      <c r="O37" s="28">
        <f t="shared" si="6"/>
        <v>0</v>
      </c>
      <c r="P37" s="23">
        <f t="shared" si="7"/>
        <v>0</v>
      </c>
      <c r="R37" s="2">
        <v>2</v>
      </c>
      <c r="S37" s="8">
        <f t="shared" si="4"/>
        <v>0</v>
      </c>
    </row>
    <row r="38" spans="1:25" ht="15" customHeight="1" x14ac:dyDescent="0.25">
      <c r="A38" s="31" t="s">
        <v>19</v>
      </c>
      <c r="B38" s="52"/>
      <c r="C38" s="31" t="s">
        <v>20</v>
      </c>
      <c r="D38" s="52"/>
      <c r="E38" s="31" t="s">
        <v>20</v>
      </c>
      <c r="F38" s="52"/>
      <c r="G38" s="31" t="s">
        <v>20</v>
      </c>
      <c r="H38" s="66"/>
      <c r="I38" s="31" t="s">
        <v>21</v>
      </c>
      <c r="J38" s="31"/>
      <c r="K38" s="31" t="s">
        <v>22</v>
      </c>
      <c r="L38" s="23">
        <f t="shared" si="0"/>
        <v>0</v>
      </c>
      <c r="M38" s="31" t="s">
        <v>23</v>
      </c>
      <c r="N38" s="23">
        <f t="shared" si="5"/>
        <v>0</v>
      </c>
      <c r="O38" s="28">
        <f t="shared" si="6"/>
        <v>0</v>
      </c>
      <c r="P38" s="23">
        <f t="shared" si="7"/>
        <v>0</v>
      </c>
      <c r="R38" s="2">
        <v>2</v>
      </c>
      <c r="S38" s="8">
        <f t="shared" si="4"/>
        <v>0</v>
      </c>
    </row>
    <row r="39" spans="1:25" ht="15" customHeight="1" x14ac:dyDescent="0.25">
      <c r="A39" s="31" t="s">
        <v>19</v>
      </c>
      <c r="B39" s="52"/>
      <c r="C39" s="31" t="s">
        <v>20</v>
      </c>
      <c r="D39" s="52"/>
      <c r="E39" s="31" t="s">
        <v>20</v>
      </c>
      <c r="F39" s="52"/>
      <c r="G39" s="31" t="s">
        <v>20</v>
      </c>
      <c r="H39" s="66"/>
      <c r="I39" s="31" t="s">
        <v>21</v>
      </c>
      <c r="J39" s="31"/>
      <c r="K39" s="31" t="s">
        <v>22</v>
      </c>
      <c r="L39" s="23">
        <f t="shared" si="0"/>
        <v>0</v>
      </c>
      <c r="M39" s="31" t="s">
        <v>23</v>
      </c>
      <c r="N39" s="23">
        <f t="shared" si="5"/>
        <v>0</v>
      </c>
      <c r="O39" s="28">
        <f t="shared" si="6"/>
        <v>0</v>
      </c>
      <c r="P39" s="23">
        <f t="shared" si="7"/>
        <v>0</v>
      </c>
      <c r="R39" s="2">
        <v>2</v>
      </c>
      <c r="S39" s="8">
        <f t="shared" si="4"/>
        <v>0</v>
      </c>
      <c r="V39" t="s">
        <v>26</v>
      </c>
    </row>
    <row r="40" spans="1:25" ht="15" customHeight="1" x14ac:dyDescent="0.25">
      <c r="A40" s="31" t="s">
        <v>19</v>
      </c>
      <c r="B40" s="52"/>
      <c r="C40" s="31" t="s">
        <v>20</v>
      </c>
      <c r="D40" s="52"/>
      <c r="E40" s="31" t="s">
        <v>20</v>
      </c>
      <c r="F40" s="52"/>
      <c r="G40" s="31" t="s">
        <v>20</v>
      </c>
      <c r="H40" s="66"/>
      <c r="I40" s="31" t="s">
        <v>21</v>
      </c>
      <c r="J40" s="31"/>
      <c r="K40" s="31" t="s">
        <v>22</v>
      </c>
      <c r="L40" s="23">
        <f t="shared" si="0"/>
        <v>0</v>
      </c>
      <c r="M40" s="31" t="s">
        <v>23</v>
      </c>
      <c r="N40" s="23">
        <f t="shared" si="5"/>
        <v>0</v>
      </c>
      <c r="O40" s="28">
        <f t="shared" si="6"/>
        <v>0</v>
      </c>
      <c r="P40" s="23">
        <f t="shared" si="7"/>
        <v>0</v>
      </c>
      <c r="R40" s="2">
        <v>2</v>
      </c>
      <c r="S40" s="8">
        <f t="shared" si="4"/>
        <v>0</v>
      </c>
      <c r="V40" t="s">
        <v>27</v>
      </c>
    </row>
    <row r="41" spans="1:25" ht="15" customHeight="1" x14ac:dyDescent="0.25">
      <c r="A41" s="31" t="s">
        <v>19</v>
      </c>
      <c r="B41" s="52"/>
      <c r="C41" s="31" t="s">
        <v>20</v>
      </c>
      <c r="D41" s="52"/>
      <c r="E41" s="31" t="s">
        <v>20</v>
      </c>
      <c r="F41" s="52"/>
      <c r="G41" s="31" t="s">
        <v>20</v>
      </c>
      <c r="H41" s="66"/>
      <c r="I41" s="31" t="s">
        <v>21</v>
      </c>
      <c r="J41" s="31"/>
      <c r="K41" s="31" t="s">
        <v>22</v>
      </c>
      <c r="L41" s="23">
        <f t="shared" si="0"/>
        <v>0</v>
      </c>
      <c r="M41" s="31" t="s">
        <v>23</v>
      </c>
      <c r="N41" s="23">
        <f t="shared" si="5"/>
        <v>0</v>
      </c>
      <c r="O41" s="28">
        <f t="shared" si="6"/>
        <v>0</v>
      </c>
      <c r="P41" s="23">
        <f t="shared" si="7"/>
        <v>0</v>
      </c>
      <c r="R41" s="2">
        <v>2</v>
      </c>
      <c r="S41" s="8">
        <f t="shared" si="4"/>
        <v>0</v>
      </c>
      <c r="V41" t="s">
        <v>28</v>
      </c>
    </row>
    <row r="42" spans="1:25" ht="15" customHeight="1" x14ac:dyDescent="0.25">
      <c r="A42" s="31" t="s">
        <v>19</v>
      </c>
      <c r="B42" s="52"/>
      <c r="C42" s="31" t="s">
        <v>20</v>
      </c>
      <c r="D42" s="52"/>
      <c r="E42" s="31" t="s">
        <v>20</v>
      </c>
      <c r="F42" s="52"/>
      <c r="G42" s="31" t="s">
        <v>20</v>
      </c>
      <c r="H42" s="66"/>
      <c r="I42" s="31" t="s">
        <v>21</v>
      </c>
      <c r="J42" s="31"/>
      <c r="K42" s="31" t="s">
        <v>22</v>
      </c>
      <c r="L42" s="23">
        <f t="shared" si="0"/>
        <v>0</v>
      </c>
      <c r="M42" s="31" t="s">
        <v>23</v>
      </c>
      <c r="N42" s="23">
        <f t="shared" si="5"/>
        <v>0</v>
      </c>
      <c r="O42" s="28">
        <f t="shared" si="6"/>
        <v>0</v>
      </c>
      <c r="P42" s="23">
        <f t="shared" si="7"/>
        <v>0</v>
      </c>
      <c r="R42" s="2">
        <v>2</v>
      </c>
      <c r="S42" s="8">
        <f t="shared" si="4"/>
        <v>0</v>
      </c>
      <c r="V42" t="s">
        <v>29</v>
      </c>
    </row>
    <row r="43" spans="1:25" ht="15" customHeight="1" x14ac:dyDescent="0.25">
      <c r="A43" s="31" t="s">
        <v>19</v>
      </c>
      <c r="B43" s="52"/>
      <c r="C43" s="31" t="s">
        <v>20</v>
      </c>
      <c r="D43" s="52"/>
      <c r="E43" s="31" t="s">
        <v>20</v>
      </c>
      <c r="F43" s="52"/>
      <c r="G43" s="31" t="s">
        <v>20</v>
      </c>
      <c r="H43" s="66"/>
      <c r="I43" s="31" t="s">
        <v>21</v>
      </c>
      <c r="J43" s="31"/>
      <c r="K43" s="31" t="s">
        <v>22</v>
      </c>
      <c r="L43" s="23">
        <f t="shared" si="0"/>
        <v>0</v>
      </c>
      <c r="M43" s="31" t="s">
        <v>23</v>
      </c>
      <c r="N43" s="23">
        <f t="shared" si="5"/>
        <v>0</v>
      </c>
      <c r="O43" s="28">
        <f t="shared" si="6"/>
        <v>0</v>
      </c>
      <c r="P43" s="23">
        <f t="shared" si="7"/>
        <v>0</v>
      </c>
      <c r="R43" s="2">
        <v>2</v>
      </c>
      <c r="S43" s="8">
        <f t="shared" si="4"/>
        <v>0</v>
      </c>
      <c r="V43" t="s">
        <v>30</v>
      </c>
    </row>
    <row r="44" spans="1:25" ht="15" customHeight="1" x14ac:dyDescent="0.25">
      <c r="A44" s="31" t="s">
        <v>31</v>
      </c>
      <c r="B44" s="52">
        <v>130</v>
      </c>
      <c r="C44" s="31" t="s">
        <v>20</v>
      </c>
      <c r="D44" s="52">
        <v>50</v>
      </c>
      <c r="E44" s="31" t="s">
        <v>20</v>
      </c>
      <c r="F44" s="52">
        <v>17</v>
      </c>
      <c r="G44" s="31" t="s">
        <v>20</v>
      </c>
      <c r="H44" s="66">
        <v>3</v>
      </c>
      <c r="I44" s="31" t="s">
        <v>21</v>
      </c>
      <c r="J44" s="31">
        <v>36</v>
      </c>
      <c r="K44" s="31" t="s">
        <v>22</v>
      </c>
      <c r="L44" s="23">
        <f t="shared" si="0"/>
        <v>5.6519999999999992</v>
      </c>
      <c r="M44" s="31" t="s">
        <v>23</v>
      </c>
      <c r="N44" s="23">
        <f t="shared" si="5"/>
        <v>203.47199999999998</v>
      </c>
      <c r="O44" s="28">
        <f t="shared" si="6"/>
        <v>6</v>
      </c>
      <c r="P44" s="23">
        <f t="shared" si="7"/>
        <v>203.47199999999998</v>
      </c>
      <c r="Q44">
        <v>1004.07</v>
      </c>
      <c r="R44" s="2">
        <v>4</v>
      </c>
      <c r="S44" s="8">
        <f t="shared" si="4"/>
        <v>0</v>
      </c>
      <c r="V44" t="s">
        <v>32</v>
      </c>
    </row>
    <row r="45" spans="1:25" ht="15" customHeight="1" x14ac:dyDescent="0.25">
      <c r="A45" s="31" t="s">
        <v>31</v>
      </c>
      <c r="B45" s="52">
        <v>130</v>
      </c>
      <c r="C45" s="31" t="s">
        <v>20</v>
      </c>
      <c r="D45" s="52">
        <v>50</v>
      </c>
      <c r="E45" s="31" t="s">
        <v>20</v>
      </c>
      <c r="F45" s="52">
        <v>17</v>
      </c>
      <c r="G45" s="31" t="s">
        <v>20</v>
      </c>
      <c r="H45" s="66">
        <v>3.35</v>
      </c>
      <c r="I45" s="31" t="s">
        <v>21</v>
      </c>
      <c r="J45" s="31">
        <v>6</v>
      </c>
      <c r="K45" s="31" t="s">
        <v>22</v>
      </c>
      <c r="L45" s="23">
        <f t="shared" si="0"/>
        <v>6.2377669999999998</v>
      </c>
      <c r="M45" s="31" t="s">
        <v>23</v>
      </c>
      <c r="N45" s="23">
        <f t="shared" si="5"/>
        <v>37.426602000000003</v>
      </c>
      <c r="O45" s="28">
        <f t="shared" si="6"/>
        <v>1</v>
      </c>
      <c r="P45" s="23">
        <f t="shared" si="7"/>
        <v>37.426602000000003</v>
      </c>
      <c r="Q45">
        <v>243.72</v>
      </c>
      <c r="R45" s="2">
        <v>4</v>
      </c>
      <c r="S45" s="8">
        <f t="shared" si="4"/>
        <v>0</v>
      </c>
    </row>
    <row r="46" spans="1:25" ht="15" customHeight="1" x14ac:dyDescent="0.25">
      <c r="A46" s="31" t="s">
        <v>31</v>
      </c>
      <c r="B46" s="52">
        <v>130</v>
      </c>
      <c r="C46" s="31" t="s">
        <v>20</v>
      </c>
      <c r="D46" s="52">
        <v>70</v>
      </c>
      <c r="E46" s="31" t="s">
        <v>20</v>
      </c>
      <c r="F46" s="52">
        <v>17</v>
      </c>
      <c r="G46" s="31" t="s">
        <v>20</v>
      </c>
      <c r="H46" s="66">
        <v>3</v>
      </c>
      <c r="I46" s="31" t="s">
        <v>21</v>
      </c>
      <c r="J46" s="31">
        <v>6</v>
      </c>
      <c r="K46" s="31" t="s">
        <v>22</v>
      </c>
      <c r="L46" s="23">
        <f t="shared" ref="L46:L77" si="8">((B46+D46+D46+F46+F46)-H46*2*R7)*H46*0.00785</f>
        <v>6.8765999999999998</v>
      </c>
      <c r="M46" s="31" t="s">
        <v>23</v>
      </c>
      <c r="N46" s="23">
        <f t="shared" si="5"/>
        <v>41.259599999999999</v>
      </c>
      <c r="O46" s="28">
        <f t="shared" si="6"/>
        <v>1</v>
      </c>
      <c r="P46" s="23">
        <f t="shared" si="7"/>
        <v>41.259599999999999</v>
      </c>
      <c r="Q46">
        <v>199.39</v>
      </c>
      <c r="R46" s="2">
        <v>4</v>
      </c>
      <c r="S46" s="8">
        <f t="shared" ref="S46:S58" si="9">O85*6-J85</f>
        <v>0</v>
      </c>
    </row>
    <row r="47" spans="1:25" ht="15" customHeight="1" x14ac:dyDescent="0.25">
      <c r="A47" s="31" t="s">
        <v>31</v>
      </c>
      <c r="B47" s="52">
        <v>250</v>
      </c>
      <c r="C47" s="31" t="s">
        <v>20</v>
      </c>
      <c r="D47" s="52">
        <v>50</v>
      </c>
      <c r="E47" s="31" t="s">
        <v>20</v>
      </c>
      <c r="F47" s="52">
        <v>17</v>
      </c>
      <c r="G47" s="31" t="s">
        <v>20</v>
      </c>
      <c r="H47" s="66">
        <v>3</v>
      </c>
      <c r="I47" s="31" t="s">
        <v>21</v>
      </c>
      <c r="J47" s="31">
        <v>12</v>
      </c>
      <c r="K47" s="31" t="s">
        <v>22</v>
      </c>
      <c r="L47" s="23">
        <f t="shared" si="8"/>
        <v>8.7605999999999984</v>
      </c>
      <c r="M47" s="31" t="s">
        <v>23</v>
      </c>
      <c r="N47" s="23">
        <f t="shared" si="5"/>
        <v>105.12719999999999</v>
      </c>
      <c r="O47" s="28">
        <f t="shared" si="6"/>
        <v>2</v>
      </c>
      <c r="P47" s="23">
        <f t="shared" si="7"/>
        <v>105.12719999999999</v>
      </c>
      <c r="Q47">
        <v>762.97</v>
      </c>
      <c r="R47" s="2">
        <v>4</v>
      </c>
      <c r="S47" s="8">
        <f t="shared" si="9"/>
        <v>0</v>
      </c>
    </row>
    <row r="48" spans="1:25" ht="15" customHeight="1" x14ac:dyDescent="0.25">
      <c r="A48" s="31" t="s">
        <v>31</v>
      </c>
      <c r="B48" s="52">
        <v>200</v>
      </c>
      <c r="C48" s="31" t="s">
        <v>20</v>
      </c>
      <c r="D48" s="52">
        <v>90</v>
      </c>
      <c r="E48" s="31" t="s">
        <v>20</v>
      </c>
      <c r="F48" s="52">
        <v>17</v>
      </c>
      <c r="G48" s="31" t="s">
        <v>20</v>
      </c>
      <c r="H48" s="66">
        <v>2.65</v>
      </c>
      <c r="I48" s="31" t="s">
        <v>21</v>
      </c>
      <c r="J48" s="31">
        <v>2</v>
      </c>
      <c r="K48" s="31" t="s">
        <v>22</v>
      </c>
      <c r="L48" s="23">
        <f t="shared" si="8"/>
        <v>8.3917284999999993</v>
      </c>
      <c r="M48" s="31" t="s">
        <v>23</v>
      </c>
      <c r="N48" s="23">
        <f t="shared" si="5"/>
        <v>16.783456999999999</v>
      </c>
      <c r="O48" s="28">
        <f t="shared" si="6"/>
        <v>1</v>
      </c>
      <c r="P48" s="23">
        <f t="shared" si="7"/>
        <v>50.350370999999996</v>
      </c>
      <c r="Q48">
        <v>152.29</v>
      </c>
      <c r="R48" s="2">
        <v>4</v>
      </c>
      <c r="S48" s="8">
        <f t="shared" si="9"/>
        <v>0</v>
      </c>
    </row>
    <row r="49" spans="1:21" ht="15" customHeight="1" x14ac:dyDescent="0.25">
      <c r="A49" s="31" t="s">
        <v>31</v>
      </c>
      <c r="B49" s="52">
        <v>250</v>
      </c>
      <c r="C49" s="31" t="s">
        <v>20</v>
      </c>
      <c r="D49" s="52">
        <v>85</v>
      </c>
      <c r="E49" s="31" t="s">
        <v>20</v>
      </c>
      <c r="F49" s="52">
        <v>17</v>
      </c>
      <c r="G49" s="31" t="s">
        <v>20</v>
      </c>
      <c r="H49" s="66">
        <v>2.65</v>
      </c>
      <c r="I49" s="31" t="s">
        <v>21</v>
      </c>
      <c r="J49" s="31">
        <v>6</v>
      </c>
      <c r="K49" s="31" t="s">
        <v>22</v>
      </c>
      <c r="L49" s="23">
        <f t="shared" si="8"/>
        <v>9.4443349999999988</v>
      </c>
      <c r="M49" s="31" t="s">
        <v>23</v>
      </c>
      <c r="N49" s="23">
        <f t="shared" si="5"/>
        <v>56.666009999999993</v>
      </c>
      <c r="O49" s="28">
        <f t="shared" si="6"/>
        <v>1</v>
      </c>
      <c r="P49" s="23">
        <f t="shared" si="7"/>
        <v>56.666009999999993</v>
      </c>
      <c r="Q49">
        <v>36.340000000000003</v>
      </c>
      <c r="R49" s="2">
        <v>4</v>
      </c>
      <c r="S49" s="8">
        <f t="shared" si="9"/>
        <v>0</v>
      </c>
    </row>
    <row r="50" spans="1:21" ht="15" customHeight="1" x14ac:dyDescent="0.25">
      <c r="A50" s="31" t="s">
        <v>31</v>
      </c>
      <c r="B50" s="52">
        <v>250</v>
      </c>
      <c r="C50" s="31" t="s">
        <v>20</v>
      </c>
      <c r="D50" s="52">
        <v>85</v>
      </c>
      <c r="E50" s="31" t="s">
        <v>20</v>
      </c>
      <c r="F50" s="52">
        <v>17</v>
      </c>
      <c r="G50" s="31" t="s">
        <v>20</v>
      </c>
      <c r="H50" s="66">
        <v>3</v>
      </c>
      <c r="I50" s="31" t="s">
        <v>21</v>
      </c>
      <c r="J50" s="31">
        <v>6</v>
      </c>
      <c r="K50" s="31" t="s">
        <v>22</v>
      </c>
      <c r="L50" s="23">
        <f t="shared" si="8"/>
        <v>10.691699999999999</v>
      </c>
      <c r="M50" s="31" t="s">
        <v>23</v>
      </c>
      <c r="N50" s="23">
        <f t="shared" si="5"/>
        <v>64.150199999999998</v>
      </c>
      <c r="O50" s="28">
        <f t="shared" si="6"/>
        <v>1</v>
      </c>
      <c r="P50" s="23">
        <f t="shared" si="7"/>
        <v>64.150199999999998</v>
      </c>
      <c r="R50" s="2">
        <v>4</v>
      </c>
      <c r="S50" s="8">
        <f t="shared" si="9"/>
        <v>0</v>
      </c>
    </row>
    <row r="51" spans="1:21" ht="15" customHeight="1" x14ac:dyDescent="0.25">
      <c r="A51" s="31" t="s">
        <v>31</v>
      </c>
      <c r="B51" s="52">
        <v>255</v>
      </c>
      <c r="C51" s="31" t="s">
        <v>20</v>
      </c>
      <c r="D51" s="52">
        <v>85</v>
      </c>
      <c r="E51" s="31" t="s">
        <v>20</v>
      </c>
      <c r="F51" s="52">
        <v>17</v>
      </c>
      <c r="G51" s="31" t="s">
        <v>20</v>
      </c>
      <c r="H51" s="66">
        <v>2.65</v>
      </c>
      <c r="I51" s="31" t="s">
        <v>21</v>
      </c>
      <c r="J51" s="31">
        <v>18</v>
      </c>
      <c r="K51" s="31" t="s">
        <v>22</v>
      </c>
      <c r="L51" s="23">
        <f t="shared" si="8"/>
        <v>9.5483474999999984</v>
      </c>
      <c r="M51" s="31" t="s">
        <v>23</v>
      </c>
      <c r="N51" s="23">
        <f t="shared" si="5"/>
        <v>171.87025499999999</v>
      </c>
      <c r="O51" s="28">
        <f t="shared" si="6"/>
        <v>3</v>
      </c>
      <c r="P51" s="23">
        <f t="shared" si="7"/>
        <v>171.87025499999999</v>
      </c>
      <c r="R51" s="2">
        <v>4</v>
      </c>
      <c r="S51" s="8">
        <f t="shared" si="9"/>
        <v>0</v>
      </c>
    </row>
    <row r="52" spans="1:21" ht="15" hidden="1" customHeight="1" x14ac:dyDescent="0.25">
      <c r="A52" s="31" t="s">
        <v>31</v>
      </c>
      <c r="C52" s="31" t="s">
        <v>20</v>
      </c>
      <c r="E52" s="31" t="s">
        <v>20</v>
      </c>
      <c r="F52" s="52"/>
      <c r="G52" s="31" t="s">
        <v>20</v>
      </c>
      <c r="I52" s="31" t="s">
        <v>21</v>
      </c>
      <c r="K52" s="31" t="s">
        <v>22</v>
      </c>
      <c r="L52" s="23">
        <f>((B6+D6+D6+F52+F52)-H6*2*R13)*H6*0.00785</f>
        <v>4.1604999999999999</v>
      </c>
      <c r="M52" s="31" t="s">
        <v>23</v>
      </c>
      <c r="N52" s="23">
        <f>J6*L52</f>
        <v>274.59300000000002</v>
      </c>
      <c r="O52" s="28">
        <f>ROUNDUP(J6/6,0)</f>
        <v>11</v>
      </c>
      <c r="P52" s="23">
        <f t="shared" si="7"/>
        <v>274.59300000000002</v>
      </c>
      <c r="R52" s="2">
        <v>4</v>
      </c>
      <c r="S52" s="8">
        <f t="shared" si="9"/>
        <v>0</v>
      </c>
    </row>
    <row r="53" spans="1:21" ht="15" hidden="1" customHeight="1" x14ac:dyDescent="0.25">
      <c r="A53" s="31" t="s">
        <v>31</v>
      </c>
      <c r="C53" s="31" t="s">
        <v>20</v>
      </c>
      <c r="E53" s="31" t="s">
        <v>20</v>
      </c>
      <c r="F53" s="52"/>
      <c r="G53" s="31" t="s">
        <v>20</v>
      </c>
      <c r="I53" s="31" t="s">
        <v>21</v>
      </c>
      <c r="K53" s="31" t="s">
        <v>22</v>
      </c>
      <c r="L53" s="23">
        <f>((B7+D7+D7+F53+F53)-H7*2*R14)*H7*0.00785</f>
        <v>4.5765499999999992</v>
      </c>
      <c r="M53" s="31" t="s">
        <v>23</v>
      </c>
      <c r="N53" s="23">
        <f>J7*L53</f>
        <v>82.377899999999983</v>
      </c>
      <c r="O53" s="28">
        <f>ROUNDUP(J7/6,0)</f>
        <v>3</v>
      </c>
      <c r="P53" s="23">
        <f t="shared" si="7"/>
        <v>82.377899999999983</v>
      </c>
      <c r="R53" s="2">
        <v>4</v>
      </c>
      <c r="S53" s="8">
        <f t="shared" si="9"/>
        <v>0</v>
      </c>
    </row>
    <row r="54" spans="1:21" ht="15" hidden="1" customHeight="1" x14ac:dyDescent="0.25">
      <c r="A54" s="31" t="s">
        <v>31</v>
      </c>
      <c r="C54" s="31" t="s">
        <v>20</v>
      </c>
      <c r="E54" s="31" t="s">
        <v>20</v>
      </c>
      <c r="F54" s="52"/>
      <c r="G54" s="31" t="s">
        <v>20</v>
      </c>
      <c r="I54" s="31" t="s">
        <v>21</v>
      </c>
      <c r="K54" s="31" t="s">
        <v>22</v>
      </c>
      <c r="L54" s="23">
        <f>((B8+D8+D8+F54+F54)-H8*2*R15)*H8*0.00785</f>
        <v>4.71</v>
      </c>
      <c r="M54" s="31" t="s">
        <v>23</v>
      </c>
      <c r="N54" s="23">
        <f>J8*L54</f>
        <v>84.78</v>
      </c>
      <c r="O54" s="28">
        <f>ROUNDUP(J8/6,0)</f>
        <v>3</v>
      </c>
      <c r="P54" s="23">
        <f t="shared" si="7"/>
        <v>84.78</v>
      </c>
      <c r="R54" s="2">
        <v>4</v>
      </c>
      <c r="S54" s="8">
        <f t="shared" si="9"/>
        <v>0</v>
      </c>
    </row>
    <row r="55" spans="1:21" ht="15" hidden="1" customHeight="1" x14ac:dyDescent="0.25">
      <c r="A55" s="31" t="s">
        <v>31</v>
      </c>
      <c r="C55" s="31" t="s">
        <v>20</v>
      </c>
      <c r="E55" s="31" t="s">
        <v>20</v>
      </c>
      <c r="F55" s="52"/>
      <c r="G55" s="31" t="s">
        <v>20</v>
      </c>
      <c r="I55" s="31" t="s">
        <v>21</v>
      </c>
      <c r="K55" s="31" t="s">
        <v>22</v>
      </c>
      <c r="L55" s="23">
        <f>((B9+D9+D9+F55+F55)-H9*2*R16)*H9*0.00785</f>
        <v>4.71</v>
      </c>
      <c r="M55" s="31" t="s">
        <v>23</v>
      </c>
      <c r="N55" s="23">
        <f>J9*L55</f>
        <v>28.259999999999998</v>
      </c>
      <c r="O55" s="28">
        <f>ROUNDUP(J9/6,0)</f>
        <v>1</v>
      </c>
      <c r="P55" s="23">
        <f t="shared" si="7"/>
        <v>28.259999999999998</v>
      </c>
      <c r="R55" s="2">
        <v>4</v>
      </c>
      <c r="S55" s="8">
        <f t="shared" si="9"/>
        <v>0</v>
      </c>
    </row>
    <row r="56" spans="1:21" ht="15" hidden="1" customHeight="1" x14ac:dyDescent="0.25">
      <c r="A56" s="31" t="s">
        <v>31</v>
      </c>
      <c r="B56" s="52"/>
      <c r="C56" s="31" t="s">
        <v>20</v>
      </c>
      <c r="D56" s="52"/>
      <c r="E56" s="31" t="s">
        <v>20</v>
      </c>
      <c r="F56" s="52"/>
      <c r="G56" s="31" t="s">
        <v>20</v>
      </c>
      <c r="H56" s="66"/>
      <c r="I56" s="31" t="s">
        <v>21</v>
      </c>
      <c r="J56" s="31"/>
      <c r="K56" s="31" t="s">
        <v>22</v>
      </c>
      <c r="L56" s="23">
        <f t="shared" si="8"/>
        <v>0</v>
      </c>
      <c r="M56" s="31" t="s">
        <v>23</v>
      </c>
      <c r="N56" s="23">
        <f t="shared" si="5"/>
        <v>0</v>
      </c>
      <c r="O56" s="28">
        <f t="shared" si="6"/>
        <v>0</v>
      </c>
      <c r="P56" s="23">
        <f t="shared" si="7"/>
        <v>0</v>
      </c>
      <c r="R56" s="2">
        <v>4</v>
      </c>
      <c r="S56" s="8">
        <f t="shared" si="9"/>
        <v>0</v>
      </c>
    </row>
    <row r="57" spans="1:21" ht="15" hidden="1" customHeight="1" x14ac:dyDescent="0.25">
      <c r="A57" s="31" t="s">
        <v>31</v>
      </c>
      <c r="B57" s="52"/>
      <c r="C57" s="31" t="s">
        <v>20</v>
      </c>
      <c r="D57" s="52"/>
      <c r="E57" s="31" t="s">
        <v>20</v>
      </c>
      <c r="F57" s="52"/>
      <c r="G57" s="31" t="s">
        <v>20</v>
      </c>
      <c r="H57" s="66"/>
      <c r="I57" s="31" t="s">
        <v>21</v>
      </c>
      <c r="J57" s="31"/>
      <c r="K57" s="31" t="s">
        <v>22</v>
      </c>
      <c r="L57" s="23">
        <f t="shared" si="8"/>
        <v>0</v>
      </c>
      <c r="M57" s="31" t="s">
        <v>23</v>
      </c>
      <c r="N57" s="23">
        <f t="shared" si="5"/>
        <v>0</v>
      </c>
      <c r="O57" s="28">
        <f t="shared" si="6"/>
        <v>0</v>
      </c>
      <c r="P57" s="23">
        <f t="shared" si="7"/>
        <v>0</v>
      </c>
      <c r="R57" s="2">
        <v>4</v>
      </c>
      <c r="S57" s="8">
        <f t="shared" si="9"/>
        <v>0</v>
      </c>
    </row>
    <row r="58" spans="1:21" ht="15" hidden="1" customHeight="1" x14ac:dyDescent="0.25">
      <c r="A58" s="31" t="s">
        <v>31</v>
      </c>
      <c r="B58" s="52"/>
      <c r="C58" s="31" t="s">
        <v>20</v>
      </c>
      <c r="D58" s="52"/>
      <c r="E58" s="31" t="s">
        <v>20</v>
      </c>
      <c r="F58" s="52"/>
      <c r="G58" s="31" t="s">
        <v>20</v>
      </c>
      <c r="H58" s="66"/>
      <c r="I58" s="31" t="s">
        <v>21</v>
      </c>
      <c r="J58" s="31"/>
      <c r="K58" s="31" t="s">
        <v>22</v>
      </c>
      <c r="L58" s="23">
        <f t="shared" si="8"/>
        <v>0</v>
      </c>
      <c r="M58" s="31" t="s">
        <v>23</v>
      </c>
      <c r="N58" s="23">
        <f t="shared" si="5"/>
        <v>0</v>
      </c>
      <c r="O58" s="28">
        <f t="shared" si="6"/>
        <v>0</v>
      </c>
      <c r="P58" s="23">
        <f t="shared" si="7"/>
        <v>0</v>
      </c>
      <c r="R58" s="2">
        <v>4</v>
      </c>
      <c r="S58" s="8">
        <f t="shared" si="9"/>
        <v>0</v>
      </c>
    </row>
    <row r="59" spans="1:21" ht="15" hidden="1" customHeight="1" x14ac:dyDescent="0.25">
      <c r="A59" s="31" t="s">
        <v>31</v>
      </c>
      <c r="B59" s="52"/>
      <c r="C59" s="31" t="s">
        <v>20</v>
      </c>
      <c r="D59" s="52"/>
      <c r="E59" s="31" t="s">
        <v>20</v>
      </c>
      <c r="F59" s="52"/>
      <c r="G59" s="31" t="s">
        <v>20</v>
      </c>
      <c r="H59" s="66"/>
      <c r="I59" s="31" t="s">
        <v>21</v>
      </c>
      <c r="J59" s="31"/>
      <c r="K59" s="31" t="s">
        <v>22</v>
      </c>
      <c r="L59" s="23">
        <f t="shared" si="8"/>
        <v>0</v>
      </c>
      <c r="M59" s="31" t="s">
        <v>23</v>
      </c>
      <c r="N59" s="23">
        <f t="shared" si="5"/>
        <v>0</v>
      </c>
      <c r="O59" s="28">
        <f t="shared" si="6"/>
        <v>0</v>
      </c>
      <c r="P59" s="23">
        <f t="shared" si="7"/>
        <v>0</v>
      </c>
      <c r="R59" s="2">
        <v>1</v>
      </c>
      <c r="S59" s="8">
        <f t="shared" ref="S59:S68" si="10">O108*6-J108</f>
        <v>0</v>
      </c>
      <c r="U59" s="8" t="s">
        <v>33</v>
      </c>
    </row>
    <row r="60" spans="1:21" ht="15" hidden="1" customHeight="1" x14ac:dyDescent="0.25">
      <c r="A60" s="31" t="s">
        <v>31</v>
      </c>
      <c r="B60" s="52"/>
      <c r="C60" s="31" t="s">
        <v>20</v>
      </c>
      <c r="D60" s="52"/>
      <c r="E60" s="31" t="s">
        <v>20</v>
      </c>
      <c r="F60" s="52"/>
      <c r="G60" s="31" t="s">
        <v>20</v>
      </c>
      <c r="H60" s="66"/>
      <c r="I60" s="31" t="s">
        <v>21</v>
      </c>
      <c r="J60" s="31"/>
      <c r="K60" s="31" t="s">
        <v>22</v>
      </c>
      <c r="L60" s="23">
        <f t="shared" si="8"/>
        <v>0</v>
      </c>
      <c r="M60" s="31" t="s">
        <v>23</v>
      </c>
      <c r="N60" s="23">
        <f t="shared" si="5"/>
        <v>0</v>
      </c>
      <c r="O60" s="28">
        <f t="shared" si="6"/>
        <v>0</v>
      </c>
      <c r="P60" s="23">
        <f t="shared" si="7"/>
        <v>0</v>
      </c>
      <c r="R60" s="2">
        <v>1</v>
      </c>
      <c r="S60" s="8">
        <f t="shared" si="10"/>
        <v>0</v>
      </c>
      <c r="U60" s="8" t="s">
        <v>34</v>
      </c>
    </row>
    <row r="61" spans="1:21" ht="15" hidden="1" customHeight="1" x14ac:dyDescent="0.25">
      <c r="A61" s="31" t="s">
        <v>31</v>
      </c>
      <c r="B61" s="52"/>
      <c r="C61" s="31" t="s">
        <v>20</v>
      </c>
      <c r="D61" s="52"/>
      <c r="E61" s="31" t="s">
        <v>20</v>
      </c>
      <c r="F61" s="52"/>
      <c r="G61" s="31" t="s">
        <v>20</v>
      </c>
      <c r="H61" s="66"/>
      <c r="I61" s="31" t="s">
        <v>21</v>
      </c>
      <c r="J61" s="31"/>
      <c r="K61" s="31" t="s">
        <v>22</v>
      </c>
      <c r="L61" s="23">
        <f t="shared" si="8"/>
        <v>0</v>
      </c>
      <c r="M61" s="31" t="s">
        <v>23</v>
      </c>
      <c r="N61" s="23">
        <f t="shared" si="5"/>
        <v>0</v>
      </c>
      <c r="O61" s="28">
        <f t="shared" si="6"/>
        <v>0</v>
      </c>
      <c r="P61" s="23">
        <f t="shared" si="7"/>
        <v>0</v>
      </c>
      <c r="R61" s="2">
        <v>1</v>
      </c>
      <c r="S61" s="8">
        <f t="shared" si="10"/>
        <v>0</v>
      </c>
      <c r="U61" s="8" t="s">
        <v>35</v>
      </c>
    </row>
    <row r="62" spans="1:21" ht="15" hidden="1" customHeight="1" x14ac:dyDescent="0.25">
      <c r="A62" s="31" t="s">
        <v>31</v>
      </c>
      <c r="B62" s="52"/>
      <c r="C62" s="31" t="s">
        <v>20</v>
      </c>
      <c r="D62" s="52"/>
      <c r="E62" s="31" t="s">
        <v>20</v>
      </c>
      <c r="F62" s="52"/>
      <c r="G62" s="31" t="s">
        <v>20</v>
      </c>
      <c r="H62" s="66"/>
      <c r="I62" s="31" t="s">
        <v>21</v>
      </c>
      <c r="J62" s="31"/>
      <c r="K62" s="31" t="s">
        <v>22</v>
      </c>
      <c r="L62" s="23">
        <f t="shared" si="8"/>
        <v>0</v>
      </c>
      <c r="M62" s="31" t="s">
        <v>23</v>
      </c>
      <c r="N62" s="23">
        <f t="shared" si="5"/>
        <v>0</v>
      </c>
      <c r="O62" s="28">
        <f t="shared" si="6"/>
        <v>0</v>
      </c>
      <c r="P62" s="23">
        <f t="shared" si="7"/>
        <v>0</v>
      </c>
      <c r="R62" s="2">
        <v>1</v>
      </c>
      <c r="S62" s="8">
        <f t="shared" si="10"/>
        <v>0</v>
      </c>
    </row>
    <row r="63" spans="1:21" ht="15" hidden="1" customHeight="1" x14ac:dyDescent="0.25">
      <c r="A63" s="31" t="s">
        <v>31</v>
      </c>
      <c r="B63" s="52"/>
      <c r="C63" s="31" t="s">
        <v>20</v>
      </c>
      <c r="D63" s="52"/>
      <c r="E63" s="31" t="s">
        <v>20</v>
      </c>
      <c r="F63" s="52"/>
      <c r="G63" s="31" t="s">
        <v>20</v>
      </c>
      <c r="H63" s="66"/>
      <c r="I63" s="31" t="s">
        <v>21</v>
      </c>
      <c r="J63" s="31"/>
      <c r="K63" s="31" t="s">
        <v>22</v>
      </c>
      <c r="L63" s="23">
        <f t="shared" si="8"/>
        <v>0</v>
      </c>
      <c r="M63" s="31" t="s">
        <v>23</v>
      </c>
      <c r="N63" s="23">
        <f t="shared" si="5"/>
        <v>0</v>
      </c>
      <c r="O63" s="28">
        <f t="shared" si="6"/>
        <v>0</v>
      </c>
      <c r="P63" s="23">
        <f t="shared" si="7"/>
        <v>0</v>
      </c>
      <c r="R63" s="2">
        <v>1</v>
      </c>
      <c r="S63" s="8">
        <f t="shared" si="10"/>
        <v>0</v>
      </c>
    </row>
    <row r="64" spans="1:21" ht="15" hidden="1" customHeight="1" x14ac:dyDescent="0.25">
      <c r="A64" s="31" t="s">
        <v>31</v>
      </c>
      <c r="B64" s="52"/>
      <c r="C64" s="31" t="s">
        <v>20</v>
      </c>
      <c r="D64" s="52"/>
      <c r="E64" s="31" t="s">
        <v>20</v>
      </c>
      <c r="F64" s="52"/>
      <c r="G64" s="31" t="s">
        <v>20</v>
      </c>
      <c r="H64" s="66"/>
      <c r="I64" s="31" t="s">
        <v>21</v>
      </c>
      <c r="J64" s="31"/>
      <c r="K64" s="31" t="s">
        <v>22</v>
      </c>
      <c r="L64" s="23">
        <f t="shared" si="8"/>
        <v>0</v>
      </c>
      <c r="M64" s="31" t="s">
        <v>23</v>
      </c>
      <c r="N64" s="23">
        <f t="shared" si="5"/>
        <v>0</v>
      </c>
      <c r="O64" s="28">
        <f t="shared" si="6"/>
        <v>0</v>
      </c>
      <c r="P64" s="23">
        <f t="shared" si="7"/>
        <v>0</v>
      </c>
      <c r="R64" s="2">
        <v>1</v>
      </c>
      <c r="S64" s="8">
        <f t="shared" si="10"/>
        <v>0</v>
      </c>
    </row>
    <row r="65" spans="1:19" ht="15" hidden="1" customHeight="1" x14ac:dyDescent="0.25">
      <c r="A65" s="31" t="s">
        <v>31</v>
      </c>
      <c r="B65" s="52"/>
      <c r="C65" s="31" t="s">
        <v>20</v>
      </c>
      <c r="D65" s="52"/>
      <c r="E65" s="31" t="s">
        <v>20</v>
      </c>
      <c r="F65" s="52"/>
      <c r="G65" s="31" t="s">
        <v>20</v>
      </c>
      <c r="H65" s="66"/>
      <c r="I65" s="31" t="s">
        <v>21</v>
      </c>
      <c r="J65" s="31"/>
      <c r="K65" s="31" t="s">
        <v>22</v>
      </c>
      <c r="L65" s="23">
        <f t="shared" si="8"/>
        <v>0</v>
      </c>
      <c r="M65" s="31" t="s">
        <v>23</v>
      </c>
      <c r="N65" s="23">
        <f t="shared" si="5"/>
        <v>0</v>
      </c>
      <c r="O65" s="28">
        <f t="shared" si="6"/>
        <v>0</v>
      </c>
      <c r="P65" s="23">
        <f t="shared" si="7"/>
        <v>0</v>
      </c>
      <c r="R65" s="2">
        <v>1</v>
      </c>
      <c r="S65" s="8">
        <f t="shared" si="10"/>
        <v>0</v>
      </c>
    </row>
    <row r="66" spans="1:19" ht="15" hidden="1" customHeight="1" x14ac:dyDescent="0.25">
      <c r="A66" s="31" t="s">
        <v>31</v>
      </c>
      <c r="B66" s="52"/>
      <c r="C66" s="31" t="s">
        <v>20</v>
      </c>
      <c r="D66" s="52"/>
      <c r="E66" s="31" t="s">
        <v>20</v>
      </c>
      <c r="F66" s="52"/>
      <c r="G66" s="31" t="s">
        <v>20</v>
      </c>
      <c r="H66" s="66"/>
      <c r="I66" s="31" t="s">
        <v>21</v>
      </c>
      <c r="J66" s="31"/>
      <c r="K66" s="31" t="s">
        <v>22</v>
      </c>
      <c r="L66" s="23">
        <f t="shared" si="8"/>
        <v>0</v>
      </c>
      <c r="M66" s="31" t="s">
        <v>23</v>
      </c>
      <c r="N66" s="23">
        <f t="shared" si="5"/>
        <v>0</v>
      </c>
      <c r="O66" s="28">
        <f t="shared" si="6"/>
        <v>0</v>
      </c>
      <c r="P66" s="23">
        <f t="shared" si="7"/>
        <v>0</v>
      </c>
      <c r="R66" s="2">
        <v>1</v>
      </c>
      <c r="S66" s="8">
        <f t="shared" si="10"/>
        <v>0</v>
      </c>
    </row>
    <row r="67" spans="1:19" ht="15" hidden="1" customHeight="1" x14ac:dyDescent="0.25">
      <c r="A67" s="31" t="s">
        <v>31</v>
      </c>
      <c r="B67" s="52"/>
      <c r="C67" s="31" t="s">
        <v>20</v>
      </c>
      <c r="D67" s="52"/>
      <c r="E67" s="31" t="s">
        <v>20</v>
      </c>
      <c r="F67" s="52"/>
      <c r="G67" s="31" t="s">
        <v>20</v>
      </c>
      <c r="H67" s="66"/>
      <c r="I67" s="31" t="s">
        <v>21</v>
      </c>
      <c r="J67" s="31"/>
      <c r="K67" s="31" t="s">
        <v>22</v>
      </c>
      <c r="L67" s="23">
        <f t="shared" si="8"/>
        <v>0</v>
      </c>
      <c r="M67" s="31" t="s">
        <v>23</v>
      </c>
      <c r="N67" s="23">
        <f t="shared" si="5"/>
        <v>0</v>
      </c>
      <c r="O67" s="28">
        <f t="shared" si="6"/>
        <v>0</v>
      </c>
      <c r="P67" s="23">
        <f t="shared" si="7"/>
        <v>0</v>
      </c>
      <c r="R67" s="2">
        <v>1</v>
      </c>
      <c r="S67" s="8">
        <f t="shared" si="10"/>
        <v>0</v>
      </c>
    </row>
    <row r="68" spans="1:19" ht="15" hidden="1" customHeight="1" x14ac:dyDescent="0.25">
      <c r="A68" s="31" t="s">
        <v>31</v>
      </c>
      <c r="B68" s="52"/>
      <c r="C68" s="31" t="s">
        <v>20</v>
      </c>
      <c r="D68" s="52"/>
      <c r="E68" s="31" t="s">
        <v>20</v>
      </c>
      <c r="F68" s="52"/>
      <c r="G68" s="31" t="s">
        <v>20</v>
      </c>
      <c r="H68" s="66"/>
      <c r="I68" s="31" t="s">
        <v>21</v>
      </c>
      <c r="J68" s="31"/>
      <c r="K68" s="31" t="s">
        <v>22</v>
      </c>
      <c r="L68" s="23">
        <f t="shared" si="8"/>
        <v>0</v>
      </c>
      <c r="M68" s="31" t="s">
        <v>23</v>
      </c>
      <c r="N68" s="23">
        <f t="shared" ref="N68:N99" si="11">J68*L68</f>
        <v>0</v>
      </c>
      <c r="O68" s="28">
        <f t="shared" ref="O68:O99" si="12">ROUNDUP(J68/6,0)</f>
        <v>0</v>
      </c>
      <c r="P68" s="23">
        <f t="shared" ref="P68:P99" si="13">O68*6*L68</f>
        <v>0</v>
      </c>
      <c r="R68" s="2">
        <v>1</v>
      </c>
      <c r="S68" s="8">
        <f t="shared" si="10"/>
        <v>0</v>
      </c>
    </row>
    <row r="69" spans="1:19" ht="15" hidden="1" customHeight="1" x14ac:dyDescent="0.25">
      <c r="A69" s="31" t="s">
        <v>31</v>
      </c>
      <c r="B69" s="52"/>
      <c r="C69" s="31" t="s">
        <v>20</v>
      </c>
      <c r="D69" s="52"/>
      <c r="E69" s="31" t="s">
        <v>20</v>
      </c>
      <c r="F69" s="52"/>
      <c r="G69" s="31" t="s">
        <v>20</v>
      </c>
      <c r="H69" s="66"/>
      <c r="I69" s="31" t="s">
        <v>21</v>
      </c>
      <c r="J69" s="31"/>
      <c r="K69" s="31" t="s">
        <v>22</v>
      </c>
      <c r="L69" s="23">
        <f t="shared" si="8"/>
        <v>0</v>
      </c>
      <c r="M69" s="31" t="s">
        <v>23</v>
      </c>
      <c r="N69" s="23">
        <f t="shared" si="11"/>
        <v>0</v>
      </c>
      <c r="O69" s="28">
        <f t="shared" si="12"/>
        <v>0</v>
      </c>
      <c r="P69" s="23">
        <f t="shared" si="13"/>
        <v>0</v>
      </c>
      <c r="R69" s="2">
        <v>1</v>
      </c>
      <c r="S69" s="8">
        <f>O128*6-J128</f>
        <v>0</v>
      </c>
    </row>
    <row r="70" spans="1:19" ht="15" hidden="1" customHeight="1" x14ac:dyDescent="0.25">
      <c r="A70" s="31" t="s">
        <v>31</v>
      </c>
      <c r="B70" s="52"/>
      <c r="C70" s="31" t="s">
        <v>20</v>
      </c>
      <c r="D70" s="52"/>
      <c r="E70" s="31" t="s">
        <v>20</v>
      </c>
      <c r="F70" s="52"/>
      <c r="G70" s="31" t="s">
        <v>20</v>
      </c>
      <c r="H70" s="66"/>
      <c r="I70" s="31" t="s">
        <v>21</v>
      </c>
      <c r="J70" s="31"/>
      <c r="K70" s="31" t="s">
        <v>22</v>
      </c>
      <c r="L70" s="23">
        <f t="shared" si="8"/>
        <v>0</v>
      </c>
      <c r="M70" s="31" t="s">
        <v>23</v>
      </c>
      <c r="N70" s="23">
        <f t="shared" si="11"/>
        <v>0</v>
      </c>
      <c r="O70" s="28">
        <f t="shared" si="12"/>
        <v>0</v>
      </c>
      <c r="P70" s="23">
        <f t="shared" si="13"/>
        <v>0</v>
      </c>
      <c r="R70" s="2">
        <v>1</v>
      </c>
      <c r="S70" s="8">
        <f>O129*6-J129</f>
        <v>0</v>
      </c>
    </row>
    <row r="71" spans="1:19" ht="15" hidden="1" customHeight="1" x14ac:dyDescent="0.25">
      <c r="A71" s="31" t="s">
        <v>31</v>
      </c>
      <c r="B71" s="52"/>
      <c r="C71" s="31" t="s">
        <v>20</v>
      </c>
      <c r="D71" s="52"/>
      <c r="E71" s="31" t="s">
        <v>20</v>
      </c>
      <c r="F71" s="52"/>
      <c r="G71" s="31" t="s">
        <v>20</v>
      </c>
      <c r="H71" s="66"/>
      <c r="I71" s="31" t="s">
        <v>21</v>
      </c>
      <c r="J71" s="31"/>
      <c r="K71" s="31" t="s">
        <v>22</v>
      </c>
      <c r="L71" s="23">
        <f t="shared" si="8"/>
        <v>0</v>
      </c>
      <c r="M71" s="31" t="s">
        <v>23</v>
      </c>
      <c r="N71" s="23">
        <f t="shared" si="11"/>
        <v>0</v>
      </c>
      <c r="O71" s="28">
        <f t="shared" si="12"/>
        <v>0</v>
      </c>
      <c r="P71" s="23">
        <f t="shared" si="13"/>
        <v>0</v>
      </c>
      <c r="R71" s="2">
        <v>1</v>
      </c>
      <c r="S71" s="8">
        <f>O130*6-J130</f>
        <v>0</v>
      </c>
    </row>
    <row r="72" spans="1:19" ht="15" hidden="1" customHeight="1" x14ac:dyDescent="0.25">
      <c r="A72" s="31" t="s">
        <v>31</v>
      </c>
      <c r="B72" s="52"/>
      <c r="C72" s="31" t="s">
        <v>20</v>
      </c>
      <c r="D72" s="52"/>
      <c r="E72" s="31" t="s">
        <v>20</v>
      </c>
      <c r="F72" s="52"/>
      <c r="G72" s="31" t="s">
        <v>20</v>
      </c>
      <c r="H72" s="66"/>
      <c r="I72" s="31" t="s">
        <v>21</v>
      </c>
      <c r="J72" s="31"/>
      <c r="K72" s="31" t="s">
        <v>22</v>
      </c>
      <c r="L72" s="23">
        <f t="shared" si="8"/>
        <v>0</v>
      </c>
      <c r="M72" s="31" t="s">
        <v>23</v>
      </c>
      <c r="N72" s="23">
        <f t="shared" si="11"/>
        <v>0</v>
      </c>
      <c r="O72" s="28">
        <f t="shared" si="12"/>
        <v>0</v>
      </c>
      <c r="P72" s="23">
        <f t="shared" si="13"/>
        <v>0</v>
      </c>
      <c r="R72" s="2"/>
    </row>
    <row r="73" spans="1:19" ht="15" hidden="1" customHeight="1" x14ac:dyDescent="0.25">
      <c r="A73" s="31" t="s">
        <v>31</v>
      </c>
      <c r="B73" s="52"/>
      <c r="C73" s="31" t="s">
        <v>20</v>
      </c>
      <c r="D73" s="52"/>
      <c r="E73" s="31" t="s">
        <v>20</v>
      </c>
      <c r="F73" s="52"/>
      <c r="G73" s="31" t="s">
        <v>20</v>
      </c>
      <c r="H73" s="66"/>
      <c r="I73" s="31" t="s">
        <v>21</v>
      </c>
      <c r="J73" s="31"/>
      <c r="K73" s="31" t="s">
        <v>22</v>
      </c>
      <c r="L73" s="23">
        <f t="shared" si="8"/>
        <v>0</v>
      </c>
      <c r="M73" s="31" t="s">
        <v>23</v>
      </c>
      <c r="N73" s="23">
        <f t="shared" si="11"/>
        <v>0</v>
      </c>
      <c r="O73" s="28">
        <f t="shared" si="12"/>
        <v>0</v>
      </c>
      <c r="P73" s="23">
        <f t="shared" si="13"/>
        <v>0</v>
      </c>
      <c r="R73" s="2"/>
    </row>
    <row r="74" spans="1:19" ht="15" hidden="1" customHeight="1" x14ac:dyDescent="0.25">
      <c r="A74" s="31" t="s">
        <v>31</v>
      </c>
      <c r="B74" s="52"/>
      <c r="C74" s="31" t="s">
        <v>20</v>
      </c>
      <c r="D74" s="52"/>
      <c r="E74" s="31" t="s">
        <v>20</v>
      </c>
      <c r="F74" s="52"/>
      <c r="G74" s="31" t="s">
        <v>20</v>
      </c>
      <c r="H74" s="66"/>
      <c r="I74" s="31" t="s">
        <v>21</v>
      </c>
      <c r="J74" s="31"/>
      <c r="K74" s="31" t="s">
        <v>22</v>
      </c>
      <c r="L74" s="23">
        <f t="shared" si="8"/>
        <v>0</v>
      </c>
      <c r="M74" s="31" t="s">
        <v>23</v>
      </c>
      <c r="N74" s="23">
        <f t="shared" si="11"/>
        <v>0</v>
      </c>
      <c r="O74" s="28">
        <f t="shared" si="12"/>
        <v>0</v>
      </c>
      <c r="P74" s="23">
        <f t="shared" si="13"/>
        <v>0</v>
      </c>
      <c r="R74" s="2"/>
    </row>
    <row r="75" spans="1:19" ht="15" hidden="1" customHeight="1" x14ac:dyDescent="0.25">
      <c r="A75" s="31" t="s">
        <v>31</v>
      </c>
      <c r="B75" s="52"/>
      <c r="C75" s="31" t="s">
        <v>20</v>
      </c>
      <c r="D75" s="52"/>
      <c r="E75" s="31" t="s">
        <v>20</v>
      </c>
      <c r="F75" s="52"/>
      <c r="G75" s="31" t="s">
        <v>20</v>
      </c>
      <c r="H75" s="66"/>
      <c r="I75" s="31" t="s">
        <v>21</v>
      </c>
      <c r="J75" s="31"/>
      <c r="K75" s="31" t="s">
        <v>22</v>
      </c>
      <c r="L75" s="23">
        <f t="shared" si="8"/>
        <v>0</v>
      </c>
      <c r="M75" s="31" t="s">
        <v>23</v>
      </c>
      <c r="N75" s="23">
        <f t="shared" si="11"/>
        <v>0</v>
      </c>
      <c r="O75" s="28">
        <f t="shared" si="12"/>
        <v>0</v>
      </c>
      <c r="P75" s="23">
        <f t="shared" si="13"/>
        <v>0</v>
      </c>
      <c r="R75" s="2"/>
    </row>
    <row r="76" spans="1:19" ht="15" hidden="1" customHeight="1" x14ac:dyDescent="0.25">
      <c r="A76" s="31" t="s">
        <v>31</v>
      </c>
      <c r="B76" s="52"/>
      <c r="C76" s="31" t="s">
        <v>20</v>
      </c>
      <c r="D76" s="52"/>
      <c r="E76" s="31" t="s">
        <v>20</v>
      </c>
      <c r="F76" s="52"/>
      <c r="G76" s="31" t="s">
        <v>20</v>
      </c>
      <c r="H76" s="66"/>
      <c r="I76" s="31" t="s">
        <v>21</v>
      </c>
      <c r="J76" s="31"/>
      <c r="K76" s="31" t="s">
        <v>22</v>
      </c>
      <c r="L76" s="23">
        <f t="shared" si="8"/>
        <v>0</v>
      </c>
      <c r="M76" s="31" t="s">
        <v>23</v>
      </c>
      <c r="N76" s="23">
        <f t="shared" si="11"/>
        <v>0</v>
      </c>
      <c r="O76" s="28">
        <f t="shared" si="12"/>
        <v>0</v>
      </c>
      <c r="P76" s="23">
        <f t="shared" si="13"/>
        <v>0</v>
      </c>
      <c r="R76" s="2"/>
    </row>
    <row r="77" spans="1:19" ht="15" hidden="1" customHeight="1" x14ac:dyDescent="0.25">
      <c r="A77" s="31" t="s">
        <v>31</v>
      </c>
      <c r="B77" s="52"/>
      <c r="C77" s="31" t="s">
        <v>20</v>
      </c>
      <c r="D77" s="52"/>
      <c r="E77" s="31" t="s">
        <v>20</v>
      </c>
      <c r="F77" s="52"/>
      <c r="G77" s="31" t="s">
        <v>20</v>
      </c>
      <c r="H77" s="66"/>
      <c r="I77" s="31" t="s">
        <v>21</v>
      </c>
      <c r="J77" s="31"/>
      <c r="K77" s="31" t="s">
        <v>22</v>
      </c>
      <c r="L77" s="23">
        <f t="shared" si="8"/>
        <v>0</v>
      </c>
      <c r="M77" s="31" t="s">
        <v>23</v>
      </c>
      <c r="N77" s="23">
        <f t="shared" si="11"/>
        <v>0</v>
      </c>
      <c r="O77" s="28">
        <f t="shared" si="12"/>
        <v>0</v>
      </c>
      <c r="P77" s="23">
        <f t="shared" si="13"/>
        <v>0</v>
      </c>
      <c r="R77" s="2"/>
    </row>
    <row r="78" spans="1:19" ht="15" hidden="1" customHeight="1" x14ac:dyDescent="0.25">
      <c r="A78" s="31" t="s">
        <v>31</v>
      </c>
      <c r="B78" s="52"/>
      <c r="C78" s="31" t="s">
        <v>20</v>
      </c>
      <c r="D78" s="52"/>
      <c r="E78" s="31" t="s">
        <v>20</v>
      </c>
      <c r="F78" s="52"/>
      <c r="G78" s="31" t="s">
        <v>20</v>
      </c>
      <c r="H78" s="66"/>
      <c r="I78" s="31" t="s">
        <v>21</v>
      </c>
      <c r="J78" s="31"/>
      <c r="K78" s="31" t="s">
        <v>22</v>
      </c>
      <c r="L78" s="23">
        <f t="shared" ref="L78:L97" si="14">((B78+D78+D78+F78+F78)-H78*2*R39)*H78*0.00785</f>
        <v>0</v>
      </c>
      <c r="M78" s="31" t="s">
        <v>23</v>
      </c>
      <c r="N78" s="23">
        <f t="shared" si="11"/>
        <v>0</v>
      </c>
      <c r="O78" s="28">
        <f t="shared" si="12"/>
        <v>0</v>
      </c>
      <c r="P78" s="23">
        <f t="shared" si="13"/>
        <v>0</v>
      </c>
      <c r="R78" s="2"/>
    </row>
    <row r="79" spans="1:19" ht="15" hidden="1" customHeight="1" x14ac:dyDescent="0.25">
      <c r="A79" s="31" t="s">
        <v>31</v>
      </c>
      <c r="B79" s="52"/>
      <c r="C79" s="31" t="s">
        <v>20</v>
      </c>
      <c r="D79" s="52"/>
      <c r="E79" s="31" t="s">
        <v>20</v>
      </c>
      <c r="F79" s="52"/>
      <c r="G79" s="31" t="s">
        <v>20</v>
      </c>
      <c r="H79" s="66"/>
      <c r="I79" s="31" t="s">
        <v>21</v>
      </c>
      <c r="J79" s="31"/>
      <c r="K79" s="31" t="s">
        <v>22</v>
      </c>
      <c r="L79" s="23">
        <f t="shared" si="14"/>
        <v>0</v>
      </c>
      <c r="M79" s="31" t="s">
        <v>23</v>
      </c>
      <c r="N79" s="23">
        <f t="shared" si="11"/>
        <v>0</v>
      </c>
      <c r="O79" s="28">
        <f t="shared" si="12"/>
        <v>0</v>
      </c>
      <c r="P79" s="23">
        <f t="shared" si="13"/>
        <v>0</v>
      </c>
      <c r="R79" s="2"/>
    </row>
    <row r="80" spans="1:19" ht="15" hidden="1" customHeight="1" x14ac:dyDescent="0.25">
      <c r="A80" s="31" t="s">
        <v>31</v>
      </c>
      <c r="B80" s="52"/>
      <c r="C80" s="31" t="s">
        <v>20</v>
      </c>
      <c r="D80" s="52"/>
      <c r="E80" s="31" t="s">
        <v>20</v>
      </c>
      <c r="F80" s="52"/>
      <c r="G80" s="31" t="s">
        <v>20</v>
      </c>
      <c r="H80" s="66"/>
      <c r="I80" s="31" t="s">
        <v>21</v>
      </c>
      <c r="J80" s="31"/>
      <c r="K80" s="31" t="s">
        <v>22</v>
      </c>
      <c r="L80" s="23">
        <f t="shared" si="14"/>
        <v>0</v>
      </c>
      <c r="M80" s="31" t="s">
        <v>23</v>
      </c>
      <c r="N80" s="23">
        <f t="shared" si="11"/>
        <v>0</v>
      </c>
      <c r="O80" s="28">
        <f t="shared" si="12"/>
        <v>0</v>
      </c>
      <c r="P80" s="23">
        <f t="shared" si="13"/>
        <v>0</v>
      </c>
      <c r="R80" s="2"/>
    </row>
    <row r="81" spans="1:21" ht="15" hidden="1" customHeight="1" x14ac:dyDescent="0.25">
      <c r="A81" s="31" t="s">
        <v>31</v>
      </c>
      <c r="B81" s="52"/>
      <c r="C81" s="31" t="s">
        <v>20</v>
      </c>
      <c r="D81" s="52"/>
      <c r="E81" s="31" t="s">
        <v>20</v>
      </c>
      <c r="F81" s="52"/>
      <c r="G81" s="31" t="s">
        <v>20</v>
      </c>
      <c r="H81" s="66"/>
      <c r="I81" s="31" t="s">
        <v>21</v>
      </c>
      <c r="J81" s="31"/>
      <c r="K81" s="31" t="s">
        <v>22</v>
      </c>
      <c r="L81" s="23">
        <f t="shared" si="14"/>
        <v>0</v>
      </c>
      <c r="M81" s="31" t="s">
        <v>23</v>
      </c>
      <c r="N81" s="23">
        <f t="shared" si="11"/>
        <v>0</v>
      </c>
      <c r="O81" s="28">
        <f t="shared" si="12"/>
        <v>0</v>
      </c>
      <c r="P81" s="23">
        <f t="shared" si="13"/>
        <v>0</v>
      </c>
      <c r="R81" s="2"/>
    </row>
    <row r="82" spans="1:21" ht="15" hidden="1" customHeight="1" x14ac:dyDescent="0.25">
      <c r="A82" s="31" t="s">
        <v>31</v>
      </c>
      <c r="B82" s="52"/>
      <c r="C82" s="31" t="s">
        <v>20</v>
      </c>
      <c r="D82" s="52"/>
      <c r="E82" s="31" t="s">
        <v>20</v>
      </c>
      <c r="F82" s="52"/>
      <c r="G82" s="31" t="s">
        <v>20</v>
      </c>
      <c r="H82" s="66"/>
      <c r="I82" s="31" t="s">
        <v>21</v>
      </c>
      <c r="J82" s="31"/>
      <c r="K82" s="31" t="s">
        <v>22</v>
      </c>
      <c r="L82" s="23">
        <f t="shared" si="14"/>
        <v>0</v>
      </c>
      <c r="M82" s="31" t="s">
        <v>23</v>
      </c>
      <c r="N82" s="23">
        <f t="shared" si="11"/>
        <v>0</v>
      </c>
      <c r="O82" s="28">
        <f t="shared" si="12"/>
        <v>0</v>
      </c>
      <c r="P82" s="23">
        <f t="shared" si="13"/>
        <v>0</v>
      </c>
      <c r="R82" s="2"/>
      <c r="S82" s="8">
        <f t="shared" ref="S82:S91" si="15">O140*6-J140</f>
        <v>0</v>
      </c>
      <c r="U82" s="8" t="s">
        <v>36</v>
      </c>
    </row>
    <row r="83" spans="1:21" ht="15" hidden="1" customHeight="1" x14ac:dyDescent="0.25">
      <c r="A83" s="31" t="s">
        <v>31</v>
      </c>
      <c r="B83" s="52"/>
      <c r="C83" s="31" t="s">
        <v>20</v>
      </c>
      <c r="D83" s="52"/>
      <c r="E83" s="31" t="s">
        <v>20</v>
      </c>
      <c r="F83" s="52"/>
      <c r="G83" s="31" t="s">
        <v>20</v>
      </c>
      <c r="H83" s="66"/>
      <c r="I83" s="31" t="s">
        <v>21</v>
      </c>
      <c r="J83" s="31"/>
      <c r="K83" s="31" t="s">
        <v>22</v>
      </c>
      <c r="L83" s="23">
        <f t="shared" si="14"/>
        <v>0</v>
      </c>
      <c r="M83" s="31" t="s">
        <v>23</v>
      </c>
      <c r="N83" s="23">
        <f t="shared" si="11"/>
        <v>0</v>
      </c>
      <c r="O83" s="28">
        <f t="shared" si="12"/>
        <v>0</v>
      </c>
      <c r="P83" s="23">
        <f t="shared" si="13"/>
        <v>0</v>
      </c>
      <c r="R83" s="2"/>
      <c r="S83" s="8">
        <f t="shared" si="15"/>
        <v>0</v>
      </c>
    </row>
    <row r="84" spans="1:21" ht="15" hidden="1" customHeight="1" x14ac:dyDescent="0.25">
      <c r="A84" s="31" t="s">
        <v>31</v>
      </c>
      <c r="B84" s="52"/>
      <c r="C84" s="31" t="s">
        <v>20</v>
      </c>
      <c r="D84" s="52"/>
      <c r="E84" s="31" t="s">
        <v>20</v>
      </c>
      <c r="F84" s="52"/>
      <c r="G84" s="31" t="s">
        <v>20</v>
      </c>
      <c r="H84" s="66"/>
      <c r="I84" s="31" t="s">
        <v>21</v>
      </c>
      <c r="J84" s="31"/>
      <c r="K84" s="31" t="s">
        <v>22</v>
      </c>
      <c r="L84" s="23">
        <f t="shared" si="14"/>
        <v>0</v>
      </c>
      <c r="M84" s="31" t="s">
        <v>23</v>
      </c>
      <c r="N84" s="23">
        <f t="shared" si="11"/>
        <v>0</v>
      </c>
      <c r="O84" s="28">
        <f t="shared" si="12"/>
        <v>0</v>
      </c>
      <c r="P84" s="23">
        <f t="shared" si="13"/>
        <v>0</v>
      </c>
      <c r="R84" s="2"/>
      <c r="S84" s="8">
        <f t="shared" si="15"/>
        <v>0</v>
      </c>
    </row>
    <row r="85" spans="1:21" ht="15" hidden="1" customHeight="1" x14ac:dyDescent="0.25">
      <c r="A85" s="31" t="s">
        <v>31</v>
      </c>
      <c r="B85" s="52"/>
      <c r="C85" s="31" t="s">
        <v>20</v>
      </c>
      <c r="D85" s="52"/>
      <c r="E85" s="31" t="s">
        <v>20</v>
      </c>
      <c r="F85" s="52"/>
      <c r="G85" s="31" t="s">
        <v>20</v>
      </c>
      <c r="H85" s="66"/>
      <c r="I85" s="31" t="s">
        <v>21</v>
      </c>
      <c r="J85" s="31"/>
      <c r="K85" s="31" t="s">
        <v>22</v>
      </c>
      <c r="L85" s="23">
        <f t="shared" si="14"/>
        <v>0</v>
      </c>
      <c r="M85" s="31" t="s">
        <v>23</v>
      </c>
      <c r="N85" s="23">
        <f t="shared" si="11"/>
        <v>0</v>
      </c>
      <c r="O85" s="28">
        <f t="shared" si="12"/>
        <v>0</v>
      </c>
      <c r="P85" s="23">
        <f t="shared" si="13"/>
        <v>0</v>
      </c>
      <c r="R85" s="2"/>
      <c r="S85" s="8">
        <f t="shared" si="15"/>
        <v>0</v>
      </c>
    </row>
    <row r="86" spans="1:21" ht="15" hidden="1" customHeight="1" x14ac:dyDescent="0.25">
      <c r="A86" s="31" t="s">
        <v>31</v>
      </c>
      <c r="B86" s="52"/>
      <c r="C86" s="31" t="s">
        <v>20</v>
      </c>
      <c r="D86" s="52"/>
      <c r="E86" s="31" t="s">
        <v>20</v>
      </c>
      <c r="F86" s="52"/>
      <c r="G86" s="31" t="s">
        <v>20</v>
      </c>
      <c r="H86" s="66"/>
      <c r="I86" s="31" t="s">
        <v>21</v>
      </c>
      <c r="J86" s="31"/>
      <c r="K86" s="31" t="s">
        <v>22</v>
      </c>
      <c r="L86" s="23">
        <f t="shared" si="14"/>
        <v>0</v>
      </c>
      <c r="M86" s="31" t="s">
        <v>23</v>
      </c>
      <c r="N86" s="23">
        <f t="shared" si="11"/>
        <v>0</v>
      </c>
      <c r="O86" s="28">
        <f t="shared" si="12"/>
        <v>0</v>
      </c>
      <c r="P86" s="23">
        <f t="shared" si="13"/>
        <v>0</v>
      </c>
      <c r="R86" s="2"/>
      <c r="S86" s="8">
        <f t="shared" si="15"/>
        <v>0</v>
      </c>
    </row>
    <row r="87" spans="1:21" ht="15" hidden="1" customHeight="1" x14ac:dyDescent="0.25">
      <c r="A87" s="31" t="s">
        <v>31</v>
      </c>
      <c r="B87" s="52"/>
      <c r="C87" s="31" t="s">
        <v>20</v>
      </c>
      <c r="D87" s="52"/>
      <c r="E87" s="31" t="s">
        <v>20</v>
      </c>
      <c r="F87" s="52"/>
      <c r="G87" s="31" t="s">
        <v>20</v>
      </c>
      <c r="H87" s="66"/>
      <c r="I87" s="31" t="s">
        <v>21</v>
      </c>
      <c r="J87" s="31"/>
      <c r="K87" s="31" t="s">
        <v>22</v>
      </c>
      <c r="L87" s="23">
        <f t="shared" si="14"/>
        <v>0</v>
      </c>
      <c r="M87" s="31" t="s">
        <v>23</v>
      </c>
      <c r="N87" s="23">
        <f t="shared" si="11"/>
        <v>0</v>
      </c>
      <c r="O87" s="28">
        <f t="shared" si="12"/>
        <v>0</v>
      </c>
      <c r="P87" s="23">
        <f t="shared" si="13"/>
        <v>0</v>
      </c>
      <c r="R87" s="2"/>
      <c r="S87" s="8">
        <f t="shared" si="15"/>
        <v>0</v>
      </c>
    </row>
    <row r="88" spans="1:21" ht="15" hidden="1" customHeight="1" x14ac:dyDescent="0.25">
      <c r="A88" s="31" t="s">
        <v>31</v>
      </c>
      <c r="B88" s="52"/>
      <c r="C88" s="31" t="s">
        <v>20</v>
      </c>
      <c r="D88" s="52"/>
      <c r="E88" s="31" t="s">
        <v>20</v>
      </c>
      <c r="F88" s="52"/>
      <c r="G88" s="31" t="s">
        <v>20</v>
      </c>
      <c r="H88" s="66"/>
      <c r="I88" s="31" t="s">
        <v>21</v>
      </c>
      <c r="J88" s="31"/>
      <c r="K88" s="31" t="s">
        <v>22</v>
      </c>
      <c r="L88" s="23">
        <f t="shared" si="14"/>
        <v>0</v>
      </c>
      <c r="M88" s="31" t="s">
        <v>23</v>
      </c>
      <c r="N88" s="23">
        <f t="shared" si="11"/>
        <v>0</v>
      </c>
      <c r="O88" s="28">
        <f t="shared" si="12"/>
        <v>0</v>
      </c>
      <c r="P88" s="23">
        <f t="shared" si="13"/>
        <v>0</v>
      </c>
      <c r="R88" s="2"/>
      <c r="S88" s="8">
        <f t="shared" si="15"/>
        <v>0</v>
      </c>
    </row>
    <row r="89" spans="1:21" ht="15" hidden="1" customHeight="1" x14ac:dyDescent="0.25">
      <c r="A89" s="31" t="s">
        <v>31</v>
      </c>
      <c r="B89" s="52"/>
      <c r="C89" s="31" t="s">
        <v>20</v>
      </c>
      <c r="D89" s="52"/>
      <c r="E89" s="31" t="s">
        <v>20</v>
      </c>
      <c r="F89" s="52"/>
      <c r="G89" s="31" t="s">
        <v>20</v>
      </c>
      <c r="H89" s="66"/>
      <c r="I89" s="31" t="s">
        <v>21</v>
      </c>
      <c r="J89" s="31"/>
      <c r="K89" s="31" t="s">
        <v>22</v>
      </c>
      <c r="L89" s="23">
        <f t="shared" si="14"/>
        <v>0</v>
      </c>
      <c r="M89" s="31" t="s">
        <v>23</v>
      </c>
      <c r="N89" s="23">
        <f t="shared" si="11"/>
        <v>0</v>
      </c>
      <c r="O89" s="28">
        <f t="shared" si="12"/>
        <v>0</v>
      </c>
      <c r="P89" s="23">
        <f t="shared" si="13"/>
        <v>0</v>
      </c>
      <c r="R89" s="2"/>
      <c r="S89" s="8">
        <f t="shared" si="15"/>
        <v>0</v>
      </c>
    </row>
    <row r="90" spans="1:21" ht="15" hidden="1" customHeight="1" x14ac:dyDescent="0.25">
      <c r="A90" s="31" t="s">
        <v>31</v>
      </c>
      <c r="B90" s="52"/>
      <c r="C90" s="31" t="s">
        <v>20</v>
      </c>
      <c r="D90" s="52"/>
      <c r="E90" s="31" t="s">
        <v>20</v>
      </c>
      <c r="F90" s="52"/>
      <c r="G90" s="31" t="s">
        <v>20</v>
      </c>
      <c r="H90" s="66"/>
      <c r="I90" s="31" t="s">
        <v>21</v>
      </c>
      <c r="J90" s="31"/>
      <c r="K90" s="31" t="s">
        <v>22</v>
      </c>
      <c r="L90" s="23">
        <f t="shared" si="14"/>
        <v>0</v>
      </c>
      <c r="M90" s="31" t="s">
        <v>23</v>
      </c>
      <c r="N90" s="23">
        <f t="shared" si="11"/>
        <v>0</v>
      </c>
      <c r="O90" s="28">
        <f t="shared" si="12"/>
        <v>0</v>
      </c>
      <c r="P90" s="23">
        <f t="shared" si="13"/>
        <v>0</v>
      </c>
      <c r="R90" s="2"/>
      <c r="S90" s="8">
        <f t="shared" si="15"/>
        <v>0</v>
      </c>
    </row>
    <row r="91" spans="1:21" ht="15" hidden="1" customHeight="1" x14ac:dyDescent="0.25">
      <c r="A91" s="31" t="s">
        <v>31</v>
      </c>
      <c r="B91" s="52"/>
      <c r="C91" s="31" t="s">
        <v>20</v>
      </c>
      <c r="D91" s="52"/>
      <c r="E91" s="31" t="s">
        <v>20</v>
      </c>
      <c r="F91" s="52"/>
      <c r="G91" s="31" t="s">
        <v>20</v>
      </c>
      <c r="H91" s="66"/>
      <c r="I91" s="31" t="s">
        <v>21</v>
      </c>
      <c r="J91" s="31"/>
      <c r="K91" s="31" t="s">
        <v>22</v>
      </c>
      <c r="L91" s="23">
        <f t="shared" si="14"/>
        <v>0</v>
      </c>
      <c r="M91" s="31" t="s">
        <v>23</v>
      </c>
      <c r="N91" s="23">
        <f t="shared" si="11"/>
        <v>0</v>
      </c>
      <c r="O91" s="28">
        <f t="shared" si="12"/>
        <v>0</v>
      </c>
      <c r="P91" s="23">
        <f t="shared" si="13"/>
        <v>0</v>
      </c>
      <c r="R91" s="2"/>
      <c r="S91" s="8">
        <f t="shared" si="15"/>
        <v>0</v>
      </c>
    </row>
    <row r="92" spans="1:21" ht="15" hidden="1" customHeight="1" x14ac:dyDescent="0.25">
      <c r="A92" s="31" t="s">
        <v>31</v>
      </c>
      <c r="B92" s="52"/>
      <c r="C92" s="31" t="s">
        <v>20</v>
      </c>
      <c r="D92" s="52"/>
      <c r="E92" s="31" t="s">
        <v>20</v>
      </c>
      <c r="F92" s="52"/>
      <c r="G92" s="31" t="s">
        <v>20</v>
      </c>
      <c r="H92" s="66"/>
      <c r="I92" s="31" t="s">
        <v>21</v>
      </c>
      <c r="J92" s="31"/>
      <c r="K92" s="31" t="s">
        <v>22</v>
      </c>
      <c r="L92" s="23">
        <f t="shared" si="14"/>
        <v>0</v>
      </c>
      <c r="M92" s="31" t="s">
        <v>23</v>
      </c>
      <c r="N92" s="23">
        <f t="shared" si="11"/>
        <v>0</v>
      </c>
      <c r="O92" s="28">
        <f t="shared" si="12"/>
        <v>0</v>
      </c>
      <c r="P92" s="23">
        <f t="shared" si="13"/>
        <v>0</v>
      </c>
      <c r="R92" s="2"/>
    </row>
    <row r="93" spans="1:21" ht="15" hidden="1" customHeight="1" x14ac:dyDescent="0.25">
      <c r="A93" s="31" t="s">
        <v>31</v>
      </c>
      <c r="B93" s="52"/>
      <c r="C93" s="31" t="s">
        <v>20</v>
      </c>
      <c r="D93" s="52"/>
      <c r="E93" s="31" t="s">
        <v>20</v>
      </c>
      <c r="F93" s="52"/>
      <c r="G93" s="31" t="s">
        <v>20</v>
      </c>
      <c r="H93" s="66"/>
      <c r="I93" s="31" t="s">
        <v>21</v>
      </c>
      <c r="J93" s="31"/>
      <c r="K93" s="31" t="s">
        <v>22</v>
      </c>
      <c r="L93" s="23">
        <f t="shared" si="14"/>
        <v>0</v>
      </c>
      <c r="M93" s="31" t="s">
        <v>23</v>
      </c>
      <c r="N93" s="23">
        <f t="shared" si="11"/>
        <v>0</v>
      </c>
      <c r="O93" s="28">
        <f t="shared" si="12"/>
        <v>0</v>
      </c>
      <c r="P93" s="23">
        <f t="shared" si="13"/>
        <v>0</v>
      </c>
      <c r="R93" s="2"/>
    </row>
    <row r="94" spans="1:21" ht="15" hidden="1" customHeight="1" x14ac:dyDescent="0.25">
      <c r="A94" s="31" t="s">
        <v>31</v>
      </c>
      <c r="B94" s="52"/>
      <c r="C94" s="31" t="s">
        <v>20</v>
      </c>
      <c r="D94" s="52"/>
      <c r="E94" s="31" t="s">
        <v>20</v>
      </c>
      <c r="F94" s="52"/>
      <c r="G94" s="31" t="s">
        <v>20</v>
      </c>
      <c r="H94" s="66"/>
      <c r="I94" s="31" t="s">
        <v>21</v>
      </c>
      <c r="J94" s="31"/>
      <c r="K94" s="31" t="s">
        <v>22</v>
      </c>
      <c r="L94" s="23">
        <f t="shared" si="14"/>
        <v>0</v>
      </c>
      <c r="M94" s="31" t="s">
        <v>23</v>
      </c>
      <c r="N94" s="23">
        <f t="shared" si="11"/>
        <v>0</v>
      </c>
      <c r="O94" s="28">
        <f t="shared" si="12"/>
        <v>0</v>
      </c>
      <c r="P94" s="23">
        <f t="shared" si="13"/>
        <v>0</v>
      </c>
      <c r="R94" s="2"/>
    </row>
    <row r="95" spans="1:21" ht="15" hidden="1" customHeight="1" x14ac:dyDescent="0.25">
      <c r="A95" s="31" t="s">
        <v>31</v>
      </c>
      <c r="B95" s="52"/>
      <c r="C95" s="31" t="s">
        <v>20</v>
      </c>
      <c r="D95" s="52"/>
      <c r="E95" s="31" t="s">
        <v>20</v>
      </c>
      <c r="F95" s="52"/>
      <c r="G95" s="31" t="s">
        <v>20</v>
      </c>
      <c r="H95" s="66"/>
      <c r="I95" s="31" t="s">
        <v>21</v>
      </c>
      <c r="J95" s="31"/>
      <c r="K95" s="31" t="s">
        <v>22</v>
      </c>
      <c r="L95" s="23">
        <f t="shared" si="14"/>
        <v>0</v>
      </c>
      <c r="M95" s="31" t="s">
        <v>23</v>
      </c>
      <c r="N95" s="23">
        <f t="shared" si="11"/>
        <v>0</v>
      </c>
      <c r="O95" s="28">
        <f t="shared" si="12"/>
        <v>0</v>
      </c>
      <c r="P95" s="23">
        <f t="shared" si="13"/>
        <v>0</v>
      </c>
      <c r="R95" s="2"/>
    </row>
    <row r="96" spans="1:21" ht="15" hidden="1" customHeight="1" x14ac:dyDescent="0.25">
      <c r="A96" s="31" t="s">
        <v>31</v>
      </c>
      <c r="B96" s="52"/>
      <c r="C96" s="31" t="s">
        <v>20</v>
      </c>
      <c r="D96" s="52"/>
      <c r="E96" s="31" t="s">
        <v>20</v>
      </c>
      <c r="F96" s="52"/>
      <c r="G96" s="31" t="s">
        <v>20</v>
      </c>
      <c r="H96" s="66"/>
      <c r="I96" s="31" t="s">
        <v>21</v>
      </c>
      <c r="J96" s="31"/>
      <c r="K96" s="31" t="s">
        <v>22</v>
      </c>
      <c r="L96" s="23">
        <f t="shared" si="14"/>
        <v>0</v>
      </c>
      <c r="M96" s="31" t="s">
        <v>23</v>
      </c>
      <c r="N96" s="23">
        <f t="shared" si="11"/>
        <v>0</v>
      </c>
      <c r="O96" s="28">
        <f t="shared" si="12"/>
        <v>0</v>
      </c>
      <c r="P96" s="23">
        <f t="shared" si="13"/>
        <v>0</v>
      </c>
      <c r="R96" s="2"/>
      <c r="S96" s="8">
        <f t="shared" ref="S96:S115" si="16">O150*6-J150</f>
        <v>0</v>
      </c>
    </row>
    <row r="97" spans="1:19" ht="15" hidden="1" customHeight="1" x14ac:dyDescent="0.25">
      <c r="A97" s="31" t="s">
        <v>31</v>
      </c>
      <c r="B97" s="52"/>
      <c r="C97" s="31" t="s">
        <v>20</v>
      </c>
      <c r="D97" s="52"/>
      <c r="E97" s="31" t="s">
        <v>20</v>
      </c>
      <c r="F97" s="52"/>
      <c r="G97" s="31" t="s">
        <v>20</v>
      </c>
      <c r="H97" s="66"/>
      <c r="I97" s="31" t="s">
        <v>21</v>
      </c>
      <c r="J97" s="31"/>
      <c r="K97" s="31" t="s">
        <v>22</v>
      </c>
      <c r="L97" s="23">
        <f t="shared" si="14"/>
        <v>0</v>
      </c>
      <c r="M97" s="31" t="s">
        <v>23</v>
      </c>
      <c r="N97" s="23">
        <f t="shared" si="11"/>
        <v>0</v>
      </c>
      <c r="O97" s="28">
        <f t="shared" si="12"/>
        <v>0</v>
      </c>
      <c r="P97" s="23">
        <f t="shared" si="13"/>
        <v>0</v>
      </c>
      <c r="R97" s="2"/>
      <c r="S97" s="8">
        <f t="shared" si="16"/>
        <v>0</v>
      </c>
    </row>
    <row r="98" spans="1:19" ht="15" hidden="1" customHeight="1" x14ac:dyDescent="0.25">
      <c r="A98" s="31" t="s">
        <v>37</v>
      </c>
      <c r="B98" s="52"/>
      <c r="C98" s="31"/>
      <c r="D98" s="52"/>
      <c r="E98" s="31"/>
      <c r="F98" s="52"/>
      <c r="G98" s="31" t="s">
        <v>20</v>
      </c>
      <c r="H98" s="66"/>
      <c r="I98" s="31" t="s">
        <v>21</v>
      </c>
      <c r="J98" s="31"/>
      <c r="K98" s="31" t="s">
        <v>22</v>
      </c>
      <c r="L98" s="23">
        <f t="shared" ref="L98:L117" si="17">((B98+D98+D98+F98+F98)-H98*2*R49)*H98*0.00785</f>
        <v>0</v>
      </c>
      <c r="M98" s="31" t="s">
        <v>23</v>
      </c>
      <c r="N98" s="23">
        <f t="shared" si="11"/>
        <v>0</v>
      </c>
      <c r="O98" s="28">
        <f t="shared" si="12"/>
        <v>0</v>
      </c>
      <c r="P98" s="23">
        <f t="shared" si="13"/>
        <v>0</v>
      </c>
      <c r="R98" s="2"/>
      <c r="S98" s="8">
        <f t="shared" si="16"/>
        <v>0</v>
      </c>
    </row>
    <row r="99" spans="1:19" ht="15" hidden="1" customHeight="1" x14ac:dyDescent="0.25">
      <c r="A99" s="31" t="s">
        <v>37</v>
      </c>
      <c r="B99" s="52"/>
      <c r="C99" s="31"/>
      <c r="D99" s="52"/>
      <c r="E99" s="31"/>
      <c r="F99" s="52"/>
      <c r="G99" s="31" t="s">
        <v>20</v>
      </c>
      <c r="H99" s="66"/>
      <c r="I99" s="31" t="s">
        <v>21</v>
      </c>
      <c r="J99" s="31"/>
      <c r="K99" s="31" t="s">
        <v>22</v>
      </c>
      <c r="L99" s="23">
        <f t="shared" si="17"/>
        <v>0</v>
      </c>
      <c r="M99" s="31" t="s">
        <v>23</v>
      </c>
      <c r="N99" s="23">
        <f t="shared" si="11"/>
        <v>0</v>
      </c>
      <c r="O99" s="28">
        <f t="shared" si="12"/>
        <v>0</v>
      </c>
      <c r="P99" s="23">
        <f t="shared" si="13"/>
        <v>0</v>
      </c>
      <c r="R99" s="2"/>
      <c r="S99" s="8">
        <f t="shared" si="16"/>
        <v>0</v>
      </c>
    </row>
    <row r="100" spans="1:19" ht="15" hidden="1" customHeight="1" x14ac:dyDescent="0.25">
      <c r="A100" s="31" t="s">
        <v>37</v>
      </c>
      <c r="B100" s="52"/>
      <c r="C100" s="31"/>
      <c r="D100" s="52"/>
      <c r="E100" s="31"/>
      <c r="F100" s="52"/>
      <c r="G100" s="31" t="s">
        <v>20</v>
      </c>
      <c r="H100" s="66"/>
      <c r="I100" s="31" t="s">
        <v>21</v>
      </c>
      <c r="J100" s="31"/>
      <c r="K100" s="31" t="s">
        <v>22</v>
      </c>
      <c r="L100" s="23">
        <f t="shared" si="17"/>
        <v>0</v>
      </c>
      <c r="M100" s="31" t="s">
        <v>23</v>
      </c>
      <c r="N100" s="23">
        <f t="shared" ref="N100:N131" si="18">J100*L100</f>
        <v>0</v>
      </c>
      <c r="O100" s="28">
        <f t="shared" ref="O100:O131" si="19">ROUNDUP(J100/6,0)</f>
        <v>0</v>
      </c>
      <c r="P100" s="23">
        <f t="shared" ref="P100:P131" si="20">O100*6*L100</f>
        <v>0</v>
      </c>
      <c r="R100" s="2"/>
      <c r="S100" s="8">
        <f t="shared" si="16"/>
        <v>0</v>
      </c>
    </row>
    <row r="101" spans="1:19" ht="15" hidden="1" customHeight="1" x14ac:dyDescent="0.25">
      <c r="A101" s="31" t="s">
        <v>37</v>
      </c>
      <c r="B101" s="52"/>
      <c r="C101" s="31"/>
      <c r="D101" s="52"/>
      <c r="E101" s="31"/>
      <c r="F101" s="52"/>
      <c r="G101" s="31" t="s">
        <v>20</v>
      </c>
      <c r="H101" s="66"/>
      <c r="I101" s="31" t="s">
        <v>21</v>
      </c>
      <c r="J101" s="31"/>
      <c r="K101" s="31" t="s">
        <v>22</v>
      </c>
      <c r="L101" s="23">
        <f t="shared" si="17"/>
        <v>0</v>
      </c>
      <c r="M101" s="31" t="s">
        <v>23</v>
      </c>
      <c r="N101" s="23">
        <f t="shared" si="18"/>
        <v>0</v>
      </c>
      <c r="O101" s="28">
        <f t="shared" si="19"/>
        <v>0</v>
      </c>
      <c r="P101" s="23">
        <f t="shared" si="20"/>
        <v>0</v>
      </c>
      <c r="R101" s="2"/>
      <c r="S101" s="8">
        <f t="shared" si="16"/>
        <v>0</v>
      </c>
    </row>
    <row r="102" spans="1:19" ht="15" hidden="1" customHeight="1" x14ac:dyDescent="0.25">
      <c r="A102" s="31" t="s">
        <v>37</v>
      </c>
      <c r="B102" s="52"/>
      <c r="C102" s="31"/>
      <c r="D102" s="52"/>
      <c r="E102" s="31"/>
      <c r="F102" s="52"/>
      <c r="G102" s="31" t="s">
        <v>20</v>
      </c>
      <c r="H102" s="66"/>
      <c r="I102" s="31" t="s">
        <v>21</v>
      </c>
      <c r="J102" s="31"/>
      <c r="K102" s="31" t="s">
        <v>22</v>
      </c>
      <c r="L102" s="23">
        <f t="shared" si="17"/>
        <v>0</v>
      </c>
      <c r="M102" s="31" t="s">
        <v>23</v>
      </c>
      <c r="N102" s="23">
        <f t="shared" si="18"/>
        <v>0</v>
      </c>
      <c r="O102" s="28">
        <f t="shared" si="19"/>
        <v>0</v>
      </c>
      <c r="P102" s="23">
        <f t="shared" si="20"/>
        <v>0</v>
      </c>
      <c r="R102" s="2"/>
      <c r="S102" s="8">
        <f t="shared" si="16"/>
        <v>0</v>
      </c>
    </row>
    <row r="103" spans="1:19" ht="15" hidden="1" customHeight="1" x14ac:dyDescent="0.25">
      <c r="A103" s="31" t="s">
        <v>37</v>
      </c>
      <c r="B103" s="52"/>
      <c r="C103" s="31"/>
      <c r="D103" s="52"/>
      <c r="E103" s="31"/>
      <c r="F103" s="52"/>
      <c r="G103" s="31" t="s">
        <v>20</v>
      </c>
      <c r="H103" s="66"/>
      <c r="I103" s="31" t="s">
        <v>21</v>
      </c>
      <c r="J103" s="31"/>
      <c r="K103" s="31" t="s">
        <v>22</v>
      </c>
      <c r="L103" s="23">
        <f t="shared" si="17"/>
        <v>0</v>
      </c>
      <c r="M103" s="31" t="s">
        <v>23</v>
      </c>
      <c r="N103" s="23">
        <f t="shared" si="18"/>
        <v>0</v>
      </c>
      <c r="O103" s="28">
        <f t="shared" si="19"/>
        <v>0</v>
      </c>
      <c r="P103" s="23">
        <f t="shared" si="20"/>
        <v>0</v>
      </c>
      <c r="R103" s="2"/>
      <c r="S103" s="8">
        <f t="shared" si="16"/>
        <v>0</v>
      </c>
    </row>
    <row r="104" spans="1:19" ht="15" hidden="1" customHeight="1" x14ac:dyDescent="0.25">
      <c r="A104" s="31" t="s">
        <v>37</v>
      </c>
      <c r="B104" s="52"/>
      <c r="C104" s="31"/>
      <c r="D104" s="52"/>
      <c r="E104" s="31"/>
      <c r="F104" s="52"/>
      <c r="G104" s="31" t="s">
        <v>20</v>
      </c>
      <c r="H104" s="66"/>
      <c r="I104" s="31" t="s">
        <v>21</v>
      </c>
      <c r="J104" s="31"/>
      <c r="K104" s="31" t="s">
        <v>22</v>
      </c>
      <c r="L104" s="23">
        <f t="shared" si="17"/>
        <v>0</v>
      </c>
      <c r="M104" s="31" t="s">
        <v>23</v>
      </c>
      <c r="N104" s="23">
        <f t="shared" si="18"/>
        <v>0</v>
      </c>
      <c r="O104" s="28">
        <f t="shared" si="19"/>
        <v>0</v>
      </c>
      <c r="P104" s="23">
        <f t="shared" si="20"/>
        <v>0</v>
      </c>
      <c r="R104" s="2"/>
      <c r="S104" s="8">
        <f t="shared" si="16"/>
        <v>0</v>
      </c>
    </row>
    <row r="105" spans="1:19" ht="15" hidden="1" customHeight="1" x14ac:dyDescent="0.25">
      <c r="A105" s="31" t="s">
        <v>37</v>
      </c>
      <c r="B105" s="52"/>
      <c r="C105" s="31"/>
      <c r="D105" s="52"/>
      <c r="E105" s="31"/>
      <c r="F105" s="52"/>
      <c r="G105" s="31" t="s">
        <v>20</v>
      </c>
      <c r="H105" s="66"/>
      <c r="I105" s="31" t="s">
        <v>21</v>
      </c>
      <c r="J105" s="31"/>
      <c r="K105" s="31" t="s">
        <v>22</v>
      </c>
      <c r="L105" s="23">
        <f t="shared" si="17"/>
        <v>0</v>
      </c>
      <c r="M105" s="31" t="s">
        <v>23</v>
      </c>
      <c r="N105" s="23">
        <f t="shared" si="18"/>
        <v>0</v>
      </c>
      <c r="O105" s="28">
        <f t="shared" si="19"/>
        <v>0</v>
      </c>
      <c r="P105" s="23">
        <f t="shared" si="20"/>
        <v>0</v>
      </c>
      <c r="R105" s="2"/>
      <c r="S105" s="8">
        <f t="shared" si="16"/>
        <v>0</v>
      </c>
    </row>
    <row r="106" spans="1:19" ht="15" hidden="1" customHeight="1" x14ac:dyDescent="0.25">
      <c r="A106" s="31" t="s">
        <v>37</v>
      </c>
      <c r="B106" s="52"/>
      <c r="C106" s="31"/>
      <c r="D106" s="52"/>
      <c r="E106" s="31"/>
      <c r="F106" s="52"/>
      <c r="G106" s="31" t="s">
        <v>20</v>
      </c>
      <c r="H106" s="66"/>
      <c r="I106" s="31" t="s">
        <v>21</v>
      </c>
      <c r="J106" s="31"/>
      <c r="K106" s="31" t="s">
        <v>22</v>
      </c>
      <c r="L106" s="23">
        <f t="shared" si="17"/>
        <v>0</v>
      </c>
      <c r="M106" s="31" t="s">
        <v>23</v>
      </c>
      <c r="N106" s="23">
        <f t="shared" si="18"/>
        <v>0</v>
      </c>
      <c r="O106" s="28">
        <f t="shared" si="19"/>
        <v>0</v>
      </c>
      <c r="P106" s="23">
        <f t="shared" si="20"/>
        <v>0</v>
      </c>
      <c r="R106" s="2"/>
      <c r="S106" s="8">
        <f t="shared" si="16"/>
        <v>0</v>
      </c>
    </row>
    <row r="107" spans="1:19" ht="15" hidden="1" customHeight="1" x14ac:dyDescent="0.25">
      <c r="A107" s="31" t="s">
        <v>37</v>
      </c>
      <c r="B107" s="52"/>
      <c r="C107" s="31"/>
      <c r="D107" s="52"/>
      <c r="E107" s="31"/>
      <c r="F107" s="52"/>
      <c r="G107" s="31" t="s">
        <v>20</v>
      </c>
      <c r="H107" s="66"/>
      <c r="I107" s="31" t="s">
        <v>21</v>
      </c>
      <c r="J107" s="31"/>
      <c r="K107" s="31" t="s">
        <v>22</v>
      </c>
      <c r="L107" s="23">
        <f t="shared" si="17"/>
        <v>0</v>
      </c>
      <c r="M107" s="31" t="s">
        <v>23</v>
      </c>
      <c r="N107" s="23">
        <f t="shared" si="18"/>
        <v>0</v>
      </c>
      <c r="O107" s="28">
        <f t="shared" si="19"/>
        <v>0</v>
      </c>
      <c r="P107" s="23">
        <f t="shared" si="20"/>
        <v>0</v>
      </c>
      <c r="R107" s="2"/>
      <c r="S107" s="8">
        <f t="shared" si="16"/>
        <v>0</v>
      </c>
    </row>
    <row r="108" spans="1:19" ht="15" hidden="1" customHeight="1" x14ac:dyDescent="0.25">
      <c r="A108" s="31" t="s">
        <v>37</v>
      </c>
      <c r="B108" s="52"/>
      <c r="C108" s="31"/>
      <c r="D108" s="52"/>
      <c r="E108" s="31"/>
      <c r="F108" s="52"/>
      <c r="G108" s="31" t="s">
        <v>20</v>
      </c>
      <c r="H108" s="66"/>
      <c r="I108" s="31" t="s">
        <v>21</v>
      </c>
      <c r="J108" s="31"/>
      <c r="K108" s="31" t="s">
        <v>22</v>
      </c>
      <c r="L108" s="23">
        <f t="shared" si="17"/>
        <v>0</v>
      </c>
      <c r="M108" s="31" t="s">
        <v>23</v>
      </c>
      <c r="N108" s="23">
        <f t="shared" si="18"/>
        <v>0</v>
      </c>
      <c r="O108" s="28">
        <f t="shared" si="19"/>
        <v>0</v>
      </c>
      <c r="P108" s="23">
        <f t="shared" si="20"/>
        <v>0</v>
      </c>
      <c r="R108" s="2"/>
      <c r="S108" s="8">
        <f t="shared" si="16"/>
        <v>0</v>
      </c>
    </row>
    <row r="109" spans="1:19" ht="15" hidden="1" customHeight="1" x14ac:dyDescent="0.25">
      <c r="A109" s="31" t="s">
        <v>37</v>
      </c>
      <c r="B109" s="52"/>
      <c r="C109" s="31"/>
      <c r="D109" s="52"/>
      <c r="E109" s="31"/>
      <c r="F109" s="52"/>
      <c r="G109" s="31" t="s">
        <v>20</v>
      </c>
      <c r="H109" s="66"/>
      <c r="I109" s="31" t="s">
        <v>21</v>
      </c>
      <c r="J109" s="31"/>
      <c r="K109" s="31" t="s">
        <v>22</v>
      </c>
      <c r="L109" s="23">
        <f t="shared" si="17"/>
        <v>0</v>
      </c>
      <c r="M109" s="31" t="s">
        <v>23</v>
      </c>
      <c r="N109" s="23">
        <f t="shared" si="18"/>
        <v>0</v>
      </c>
      <c r="O109" s="28">
        <f t="shared" si="19"/>
        <v>0</v>
      </c>
      <c r="P109" s="23">
        <f t="shared" si="20"/>
        <v>0</v>
      </c>
      <c r="R109" s="2"/>
      <c r="S109" s="8">
        <f t="shared" si="16"/>
        <v>0</v>
      </c>
    </row>
    <row r="110" spans="1:19" ht="15" hidden="1" customHeight="1" x14ac:dyDescent="0.25">
      <c r="A110" s="31" t="s">
        <v>37</v>
      </c>
      <c r="B110" s="52"/>
      <c r="C110" s="31"/>
      <c r="D110" s="52"/>
      <c r="E110" s="31"/>
      <c r="F110" s="52"/>
      <c r="G110" s="31" t="s">
        <v>20</v>
      </c>
      <c r="H110" s="66"/>
      <c r="I110" s="31" t="s">
        <v>21</v>
      </c>
      <c r="J110" s="31"/>
      <c r="K110" s="31" t="s">
        <v>22</v>
      </c>
      <c r="L110" s="23">
        <f t="shared" si="17"/>
        <v>0</v>
      </c>
      <c r="M110" s="31" t="s">
        <v>23</v>
      </c>
      <c r="N110" s="23">
        <f t="shared" si="18"/>
        <v>0</v>
      </c>
      <c r="O110" s="28">
        <f t="shared" si="19"/>
        <v>0</v>
      </c>
      <c r="P110" s="23">
        <f t="shared" si="20"/>
        <v>0</v>
      </c>
      <c r="R110" s="2"/>
      <c r="S110" s="8">
        <f t="shared" si="16"/>
        <v>0</v>
      </c>
    </row>
    <row r="111" spans="1:19" ht="15" hidden="1" customHeight="1" x14ac:dyDescent="0.25">
      <c r="A111" s="31" t="s">
        <v>37</v>
      </c>
      <c r="B111" s="52"/>
      <c r="C111" s="31"/>
      <c r="D111" s="52"/>
      <c r="E111" s="31"/>
      <c r="F111" s="52"/>
      <c r="G111" s="31" t="s">
        <v>20</v>
      </c>
      <c r="H111" s="66"/>
      <c r="I111" s="31" t="s">
        <v>21</v>
      </c>
      <c r="J111" s="31"/>
      <c r="K111" s="31" t="s">
        <v>22</v>
      </c>
      <c r="L111" s="23">
        <f t="shared" si="17"/>
        <v>0</v>
      </c>
      <c r="M111" s="31" t="s">
        <v>23</v>
      </c>
      <c r="N111" s="23">
        <f t="shared" si="18"/>
        <v>0</v>
      </c>
      <c r="O111" s="28">
        <f t="shared" si="19"/>
        <v>0</v>
      </c>
      <c r="P111" s="23">
        <f t="shared" si="20"/>
        <v>0</v>
      </c>
      <c r="R111" s="2"/>
      <c r="S111" s="8">
        <f t="shared" si="16"/>
        <v>0</v>
      </c>
    </row>
    <row r="112" spans="1:19" ht="15" hidden="1" customHeight="1" x14ac:dyDescent="0.25">
      <c r="A112" s="31" t="s">
        <v>37</v>
      </c>
      <c r="B112" s="52"/>
      <c r="C112" s="31"/>
      <c r="D112" s="52"/>
      <c r="E112" s="31"/>
      <c r="F112" s="52"/>
      <c r="G112" s="31" t="s">
        <v>20</v>
      </c>
      <c r="H112" s="66"/>
      <c r="I112" s="31" t="s">
        <v>21</v>
      </c>
      <c r="J112" s="31"/>
      <c r="K112" s="31" t="s">
        <v>22</v>
      </c>
      <c r="L112" s="23">
        <f t="shared" si="17"/>
        <v>0</v>
      </c>
      <c r="M112" s="31" t="s">
        <v>23</v>
      </c>
      <c r="N112" s="23">
        <f t="shared" si="18"/>
        <v>0</v>
      </c>
      <c r="O112" s="28">
        <f t="shared" si="19"/>
        <v>0</v>
      </c>
      <c r="P112" s="23">
        <f t="shared" si="20"/>
        <v>0</v>
      </c>
      <c r="R112" s="2"/>
      <c r="S112" s="8">
        <f t="shared" si="16"/>
        <v>0</v>
      </c>
    </row>
    <row r="113" spans="1:19" ht="15" hidden="1" customHeight="1" x14ac:dyDescent="0.25">
      <c r="A113" s="31" t="s">
        <v>37</v>
      </c>
      <c r="B113" s="52"/>
      <c r="C113" s="31"/>
      <c r="D113" s="52"/>
      <c r="E113" s="31"/>
      <c r="F113" s="52"/>
      <c r="G113" s="31" t="s">
        <v>20</v>
      </c>
      <c r="H113" s="66"/>
      <c r="I113" s="31" t="s">
        <v>21</v>
      </c>
      <c r="J113" s="31"/>
      <c r="K113" s="31" t="s">
        <v>22</v>
      </c>
      <c r="L113" s="23">
        <f t="shared" si="17"/>
        <v>0</v>
      </c>
      <c r="M113" s="31" t="s">
        <v>23</v>
      </c>
      <c r="N113" s="23">
        <f t="shared" si="18"/>
        <v>0</v>
      </c>
      <c r="O113" s="28">
        <f t="shared" si="19"/>
        <v>0</v>
      </c>
      <c r="P113" s="23">
        <f t="shared" si="20"/>
        <v>0</v>
      </c>
      <c r="R113" s="2"/>
      <c r="S113" s="8">
        <f t="shared" si="16"/>
        <v>0</v>
      </c>
    </row>
    <row r="114" spans="1:19" ht="15" hidden="1" customHeight="1" x14ac:dyDescent="0.25">
      <c r="A114" s="31" t="s">
        <v>37</v>
      </c>
      <c r="B114" s="52"/>
      <c r="C114" s="31"/>
      <c r="D114" s="52"/>
      <c r="E114" s="31"/>
      <c r="F114" s="52"/>
      <c r="G114" s="31" t="s">
        <v>20</v>
      </c>
      <c r="H114" s="66"/>
      <c r="I114" s="31" t="s">
        <v>21</v>
      </c>
      <c r="J114" s="31"/>
      <c r="K114" s="31" t="s">
        <v>22</v>
      </c>
      <c r="L114" s="23">
        <f t="shared" si="17"/>
        <v>0</v>
      </c>
      <c r="M114" s="31" t="s">
        <v>23</v>
      </c>
      <c r="N114" s="23">
        <f t="shared" si="18"/>
        <v>0</v>
      </c>
      <c r="O114" s="28">
        <f t="shared" si="19"/>
        <v>0</v>
      </c>
      <c r="P114" s="23">
        <f t="shared" si="20"/>
        <v>0</v>
      </c>
      <c r="R114" s="2"/>
      <c r="S114" s="8">
        <f t="shared" si="16"/>
        <v>0</v>
      </c>
    </row>
    <row r="115" spans="1:19" ht="15" hidden="1" customHeight="1" x14ac:dyDescent="0.25">
      <c r="A115" s="31" t="s">
        <v>37</v>
      </c>
      <c r="B115" s="52"/>
      <c r="C115" s="31"/>
      <c r="D115" s="52"/>
      <c r="E115" s="31"/>
      <c r="F115" s="52"/>
      <c r="G115" s="31" t="s">
        <v>20</v>
      </c>
      <c r="H115" s="66"/>
      <c r="I115" s="31" t="s">
        <v>21</v>
      </c>
      <c r="J115" s="31"/>
      <c r="K115" s="31" t="s">
        <v>22</v>
      </c>
      <c r="L115" s="23">
        <f t="shared" si="17"/>
        <v>0</v>
      </c>
      <c r="M115" s="31" t="s">
        <v>23</v>
      </c>
      <c r="N115" s="23">
        <f t="shared" si="18"/>
        <v>0</v>
      </c>
      <c r="O115" s="28">
        <f t="shared" si="19"/>
        <v>0</v>
      </c>
      <c r="P115" s="23">
        <f t="shared" si="20"/>
        <v>0</v>
      </c>
      <c r="R115" s="2"/>
      <c r="S115" s="8">
        <f t="shared" si="16"/>
        <v>0</v>
      </c>
    </row>
    <row r="116" spans="1:19" ht="15" hidden="1" customHeight="1" x14ac:dyDescent="0.25">
      <c r="A116" s="31" t="s">
        <v>37</v>
      </c>
      <c r="B116" s="52"/>
      <c r="C116" s="31"/>
      <c r="D116" s="52"/>
      <c r="E116" s="31"/>
      <c r="F116" s="52"/>
      <c r="G116" s="31" t="s">
        <v>20</v>
      </c>
      <c r="H116" s="66"/>
      <c r="I116" s="31" t="s">
        <v>21</v>
      </c>
      <c r="J116" s="31"/>
      <c r="K116" s="31" t="s">
        <v>22</v>
      </c>
      <c r="L116" s="23">
        <f t="shared" si="17"/>
        <v>0</v>
      </c>
      <c r="M116" s="31" t="s">
        <v>23</v>
      </c>
      <c r="N116" s="23">
        <f t="shared" si="18"/>
        <v>0</v>
      </c>
      <c r="O116" s="28">
        <f t="shared" si="19"/>
        <v>0</v>
      </c>
      <c r="P116" s="23">
        <f t="shared" si="20"/>
        <v>0</v>
      </c>
      <c r="R116" s="2"/>
    </row>
    <row r="117" spans="1:19" ht="15" hidden="1" customHeight="1" x14ac:dyDescent="0.25">
      <c r="A117" s="31" t="s">
        <v>37</v>
      </c>
      <c r="B117" s="52"/>
      <c r="C117" s="31"/>
      <c r="D117" s="52"/>
      <c r="E117" s="31"/>
      <c r="F117" s="52"/>
      <c r="G117" s="31" t="s">
        <v>20</v>
      </c>
      <c r="H117" s="66"/>
      <c r="I117" s="31" t="s">
        <v>21</v>
      </c>
      <c r="J117" s="31"/>
      <c r="K117" s="31" t="s">
        <v>22</v>
      </c>
      <c r="L117" s="23">
        <f t="shared" si="17"/>
        <v>0</v>
      </c>
      <c r="M117" s="31" t="s">
        <v>23</v>
      </c>
      <c r="N117" s="23">
        <f t="shared" si="18"/>
        <v>0</v>
      </c>
      <c r="O117" s="28">
        <f t="shared" si="19"/>
        <v>0</v>
      </c>
      <c r="P117" s="23">
        <f t="shared" si="20"/>
        <v>0</v>
      </c>
      <c r="R117" s="2"/>
    </row>
    <row r="118" spans="1:19" ht="15" hidden="1" customHeight="1" x14ac:dyDescent="0.25">
      <c r="A118" s="31" t="s">
        <v>38</v>
      </c>
      <c r="B118" s="52"/>
      <c r="C118" s="31"/>
      <c r="D118" s="52"/>
      <c r="E118" s="31" t="s">
        <v>20</v>
      </c>
      <c r="F118" s="52"/>
      <c r="G118" s="31" t="s">
        <v>20</v>
      </c>
      <c r="H118" s="66"/>
      <c r="I118" s="31" t="s">
        <v>21</v>
      </c>
      <c r="J118" s="31"/>
      <c r="K118" s="31" t="s">
        <v>22</v>
      </c>
      <c r="L118" s="23">
        <f t="shared" ref="L118:L129" si="21">((D118*2+F118*2)-H118*4)*H118*0.00785</f>
        <v>0</v>
      </c>
      <c r="M118" s="31" t="s">
        <v>23</v>
      </c>
      <c r="N118" s="23">
        <f t="shared" si="18"/>
        <v>0</v>
      </c>
      <c r="O118" s="28">
        <f t="shared" si="19"/>
        <v>0</v>
      </c>
      <c r="P118" s="23">
        <f t="shared" si="20"/>
        <v>0</v>
      </c>
      <c r="R118" s="2"/>
      <c r="S118" s="8">
        <f t="shared" ref="S118:S130" si="22">O172*6-J172</f>
        <v>0</v>
      </c>
    </row>
    <row r="119" spans="1:19" ht="15" hidden="1" customHeight="1" x14ac:dyDescent="0.25">
      <c r="A119" s="31" t="s">
        <v>38</v>
      </c>
      <c r="B119" s="52"/>
      <c r="C119" s="31"/>
      <c r="D119" s="52"/>
      <c r="E119" s="31" t="s">
        <v>20</v>
      </c>
      <c r="F119" s="52"/>
      <c r="G119" s="31" t="s">
        <v>20</v>
      </c>
      <c r="H119" s="66"/>
      <c r="I119" s="31" t="s">
        <v>21</v>
      </c>
      <c r="J119" s="31"/>
      <c r="K119" s="31" t="s">
        <v>22</v>
      </c>
      <c r="L119" s="23">
        <f t="shared" si="21"/>
        <v>0</v>
      </c>
      <c r="M119" s="31" t="s">
        <v>23</v>
      </c>
      <c r="N119" s="23">
        <f t="shared" si="18"/>
        <v>0</v>
      </c>
      <c r="O119" s="28">
        <f t="shared" si="19"/>
        <v>0</v>
      </c>
      <c r="P119" s="23">
        <f t="shared" si="20"/>
        <v>0</v>
      </c>
      <c r="R119" s="2"/>
      <c r="S119" s="8">
        <f t="shared" si="22"/>
        <v>0</v>
      </c>
    </row>
    <row r="120" spans="1:19" ht="15" hidden="1" customHeight="1" x14ac:dyDescent="0.25">
      <c r="A120" s="31" t="s">
        <v>38</v>
      </c>
      <c r="B120" s="52"/>
      <c r="C120" s="31"/>
      <c r="D120" s="52"/>
      <c r="E120" s="31" t="s">
        <v>20</v>
      </c>
      <c r="F120" s="52"/>
      <c r="G120" s="31" t="s">
        <v>20</v>
      </c>
      <c r="H120" s="66"/>
      <c r="I120" s="31" t="s">
        <v>21</v>
      </c>
      <c r="J120" s="31"/>
      <c r="K120" s="31" t="s">
        <v>22</v>
      </c>
      <c r="L120" s="23">
        <f t="shared" si="21"/>
        <v>0</v>
      </c>
      <c r="M120" s="31" t="s">
        <v>23</v>
      </c>
      <c r="N120" s="23">
        <f t="shared" si="18"/>
        <v>0</v>
      </c>
      <c r="O120" s="28">
        <f t="shared" si="19"/>
        <v>0</v>
      </c>
      <c r="P120" s="23">
        <f t="shared" si="20"/>
        <v>0</v>
      </c>
      <c r="R120" s="2"/>
      <c r="S120" s="8">
        <f t="shared" si="22"/>
        <v>0</v>
      </c>
    </row>
    <row r="121" spans="1:19" ht="15" hidden="1" customHeight="1" x14ac:dyDescent="0.25">
      <c r="A121" s="31" t="s">
        <v>38</v>
      </c>
      <c r="B121" s="52"/>
      <c r="C121" s="31"/>
      <c r="D121" s="52"/>
      <c r="E121" s="31" t="s">
        <v>20</v>
      </c>
      <c r="F121" s="52"/>
      <c r="G121" s="31" t="s">
        <v>20</v>
      </c>
      <c r="H121" s="66"/>
      <c r="I121" s="31" t="s">
        <v>21</v>
      </c>
      <c r="J121" s="31"/>
      <c r="K121" s="31" t="s">
        <v>22</v>
      </c>
      <c r="L121" s="23">
        <f t="shared" si="21"/>
        <v>0</v>
      </c>
      <c r="M121" s="31" t="s">
        <v>23</v>
      </c>
      <c r="N121" s="23">
        <f t="shared" si="18"/>
        <v>0</v>
      </c>
      <c r="O121" s="28">
        <f t="shared" si="19"/>
        <v>0</v>
      </c>
      <c r="P121" s="23">
        <f t="shared" si="20"/>
        <v>0</v>
      </c>
      <c r="R121" s="2"/>
      <c r="S121" s="8">
        <f t="shared" si="22"/>
        <v>0</v>
      </c>
    </row>
    <row r="122" spans="1:19" ht="15" hidden="1" customHeight="1" x14ac:dyDescent="0.25">
      <c r="A122" s="31" t="s">
        <v>38</v>
      </c>
      <c r="B122" s="52"/>
      <c r="C122" s="31"/>
      <c r="D122" s="52"/>
      <c r="E122" s="31" t="s">
        <v>20</v>
      </c>
      <c r="F122" s="52"/>
      <c r="G122" s="31" t="s">
        <v>20</v>
      </c>
      <c r="H122" s="66"/>
      <c r="I122" s="31" t="s">
        <v>21</v>
      </c>
      <c r="J122" s="31"/>
      <c r="K122" s="31" t="s">
        <v>22</v>
      </c>
      <c r="L122" s="23">
        <f t="shared" si="21"/>
        <v>0</v>
      </c>
      <c r="M122" s="31" t="s">
        <v>23</v>
      </c>
      <c r="N122" s="23">
        <f t="shared" si="18"/>
        <v>0</v>
      </c>
      <c r="O122" s="28">
        <f t="shared" si="19"/>
        <v>0</v>
      </c>
      <c r="P122" s="23">
        <f t="shared" si="20"/>
        <v>0</v>
      </c>
      <c r="R122" s="2"/>
      <c r="S122" s="8">
        <f t="shared" si="22"/>
        <v>0</v>
      </c>
    </row>
    <row r="123" spans="1:19" ht="15" hidden="1" customHeight="1" x14ac:dyDescent="0.25">
      <c r="A123" s="31" t="s">
        <v>38</v>
      </c>
      <c r="B123" s="52"/>
      <c r="C123" s="31"/>
      <c r="D123" s="52"/>
      <c r="E123" s="31" t="s">
        <v>20</v>
      </c>
      <c r="F123" s="52"/>
      <c r="G123" s="31" t="s">
        <v>20</v>
      </c>
      <c r="H123" s="66"/>
      <c r="I123" s="31" t="s">
        <v>21</v>
      </c>
      <c r="J123" s="31"/>
      <c r="K123" s="31" t="s">
        <v>22</v>
      </c>
      <c r="L123" s="23">
        <f t="shared" si="21"/>
        <v>0</v>
      </c>
      <c r="M123" s="31" t="s">
        <v>23</v>
      </c>
      <c r="N123" s="23">
        <f t="shared" si="18"/>
        <v>0</v>
      </c>
      <c r="O123" s="28">
        <f t="shared" si="19"/>
        <v>0</v>
      </c>
      <c r="P123" s="23">
        <f t="shared" si="20"/>
        <v>0</v>
      </c>
      <c r="R123" s="2"/>
      <c r="S123" s="8">
        <f t="shared" si="22"/>
        <v>0</v>
      </c>
    </row>
    <row r="124" spans="1:19" ht="15" hidden="1" customHeight="1" x14ac:dyDescent="0.25">
      <c r="A124" s="31" t="s">
        <v>38</v>
      </c>
      <c r="B124" s="52"/>
      <c r="C124" s="31"/>
      <c r="D124" s="52"/>
      <c r="E124" s="31" t="s">
        <v>20</v>
      </c>
      <c r="F124" s="52"/>
      <c r="G124" s="31" t="s">
        <v>20</v>
      </c>
      <c r="H124" s="66"/>
      <c r="I124" s="31" t="s">
        <v>21</v>
      </c>
      <c r="J124" s="31"/>
      <c r="K124" s="31" t="s">
        <v>22</v>
      </c>
      <c r="L124" s="23">
        <f t="shared" si="21"/>
        <v>0</v>
      </c>
      <c r="M124" s="31" t="s">
        <v>23</v>
      </c>
      <c r="N124" s="23">
        <f t="shared" si="18"/>
        <v>0</v>
      </c>
      <c r="O124" s="28">
        <f t="shared" si="19"/>
        <v>0</v>
      </c>
      <c r="P124" s="23">
        <f t="shared" si="20"/>
        <v>0</v>
      </c>
      <c r="R124" s="2"/>
      <c r="S124" s="8">
        <f t="shared" si="22"/>
        <v>0</v>
      </c>
    </row>
    <row r="125" spans="1:19" ht="15" hidden="1" customHeight="1" x14ac:dyDescent="0.25">
      <c r="A125" s="31" t="s">
        <v>38</v>
      </c>
      <c r="B125" s="52"/>
      <c r="C125" s="31"/>
      <c r="D125" s="52"/>
      <c r="E125" s="31" t="s">
        <v>20</v>
      </c>
      <c r="F125" s="52"/>
      <c r="G125" s="31" t="s">
        <v>20</v>
      </c>
      <c r="H125" s="66"/>
      <c r="I125" s="31" t="s">
        <v>21</v>
      </c>
      <c r="J125" s="31"/>
      <c r="K125" s="31" t="s">
        <v>22</v>
      </c>
      <c r="L125" s="23">
        <f t="shared" si="21"/>
        <v>0</v>
      </c>
      <c r="M125" s="31" t="s">
        <v>23</v>
      </c>
      <c r="N125" s="23">
        <f t="shared" si="18"/>
        <v>0</v>
      </c>
      <c r="O125" s="28">
        <f t="shared" si="19"/>
        <v>0</v>
      </c>
      <c r="P125" s="23">
        <f t="shared" si="20"/>
        <v>0</v>
      </c>
      <c r="R125" s="2"/>
      <c r="S125" s="8">
        <f t="shared" si="22"/>
        <v>0</v>
      </c>
    </row>
    <row r="126" spans="1:19" ht="15" hidden="1" customHeight="1" x14ac:dyDescent="0.25">
      <c r="A126" s="31" t="s">
        <v>38</v>
      </c>
      <c r="B126" s="52"/>
      <c r="C126" s="31"/>
      <c r="D126" s="52"/>
      <c r="E126" s="31" t="s">
        <v>20</v>
      </c>
      <c r="F126" s="52"/>
      <c r="G126" s="31" t="s">
        <v>20</v>
      </c>
      <c r="H126" s="66"/>
      <c r="I126" s="31" t="s">
        <v>21</v>
      </c>
      <c r="J126" s="31"/>
      <c r="K126" s="31" t="s">
        <v>22</v>
      </c>
      <c r="L126" s="23">
        <f t="shared" si="21"/>
        <v>0</v>
      </c>
      <c r="M126" s="31" t="s">
        <v>23</v>
      </c>
      <c r="N126" s="23">
        <f t="shared" si="18"/>
        <v>0</v>
      </c>
      <c r="O126" s="28">
        <f t="shared" si="19"/>
        <v>0</v>
      </c>
      <c r="P126" s="23">
        <f t="shared" si="20"/>
        <v>0</v>
      </c>
      <c r="R126" s="2"/>
      <c r="S126" s="8">
        <f t="shared" si="22"/>
        <v>0</v>
      </c>
    </row>
    <row r="127" spans="1:19" ht="15" hidden="1" customHeight="1" x14ac:dyDescent="0.25">
      <c r="A127" s="31" t="s">
        <v>38</v>
      </c>
      <c r="B127" s="52"/>
      <c r="C127" s="31"/>
      <c r="D127" s="52"/>
      <c r="E127" s="31" t="s">
        <v>20</v>
      </c>
      <c r="F127" s="52"/>
      <c r="G127" s="31" t="s">
        <v>20</v>
      </c>
      <c r="H127" s="66"/>
      <c r="I127" s="31" t="s">
        <v>21</v>
      </c>
      <c r="J127" s="31"/>
      <c r="K127" s="31" t="s">
        <v>22</v>
      </c>
      <c r="L127" s="23">
        <f t="shared" si="21"/>
        <v>0</v>
      </c>
      <c r="M127" s="31" t="s">
        <v>23</v>
      </c>
      <c r="N127" s="23">
        <f t="shared" si="18"/>
        <v>0</v>
      </c>
      <c r="O127" s="28">
        <f t="shared" si="19"/>
        <v>0</v>
      </c>
      <c r="P127" s="23">
        <f t="shared" si="20"/>
        <v>0</v>
      </c>
      <c r="R127" s="2"/>
      <c r="S127" s="8">
        <f t="shared" si="22"/>
        <v>0</v>
      </c>
    </row>
    <row r="128" spans="1:19" ht="15" hidden="1" customHeight="1" x14ac:dyDescent="0.25">
      <c r="A128" s="31" t="s">
        <v>38</v>
      </c>
      <c r="B128" s="52"/>
      <c r="C128" s="31"/>
      <c r="D128" s="52"/>
      <c r="E128" s="31" t="s">
        <v>20</v>
      </c>
      <c r="F128" s="52"/>
      <c r="G128" s="31" t="s">
        <v>20</v>
      </c>
      <c r="H128" s="66"/>
      <c r="I128" s="31" t="s">
        <v>21</v>
      </c>
      <c r="J128" s="31"/>
      <c r="K128" s="31" t="s">
        <v>22</v>
      </c>
      <c r="L128" s="23">
        <f t="shared" si="21"/>
        <v>0</v>
      </c>
      <c r="M128" s="31" t="s">
        <v>23</v>
      </c>
      <c r="N128" s="23">
        <f t="shared" si="18"/>
        <v>0</v>
      </c>
      <c r="O128" s="28">
        <f t="shared" si="19"/>
        <v>0</v>
      </c>
      <c r="P128" s="23">
        <f t="shared" si="20"/>
        <v>0</v>
      </c>
      <c r="R128" s="2"/>
      <c r="S128" s="8">
        <f t="shared" si="22"/>
        <v>0</v>
      </c>
    </row>
    <row r="129" spans="1:23" ht="15" hidden="1" customHeight="1" x14ac:dyDescent="0.25">
      <c r="A129" s="31" t="s">
        <v>38</v>
      </c>
      <c r="B129" s="52"/>
      <c r="C129" s="31"/>
      <c r="D129" s="52"/>
      <c r="E129" s="31" t="s">
        <v>20</v>
      </c>
      <c r="F129" s="52"/>
      <c r="G129" s="31" t="s">
        <v>20</v>
      </c>
      <c r="H129" s="66"/>
      <c r="I129" s="31" t="s">
        <v>21</v>
      </c>
      <c r="J129" s="31"/>
      <c r="K129" s="31" t="s">
        <v>22</v>
      </c>
      <c r="L129" s="23">
        <f t="shared" si="21"/>
        <v>0</v>
      </c>
      <c r="M129" s="31" t="s">
        <v>23</v>
      </c>
      <c r="N129" s="23">
        <f t="shared" si="18"/>
        <v>0</v>
      </c>
      <c r="O129" s="28">
        <f t="shared" si="19"/>
        <v>0</v>
      </c>
      <c r="P129" s="23">
        <f t="shared" si="20"/>
        <v>0</v>
      </c>
      <c r="R129" s="2"/>
      <c r="S129" s="8">
        <f t="shared" si="22"/>
        <v>0</v>
      </c>
      <c r="W129" s="8" t="s">
        <v>39</v>
      </c>
    </row>
    <row r="130" spans="1:23" ht="15" hidden="1" customHeight="1" x14ac:dyDescent="0.25">
      <c r="A130" s="46" t="s">
        <v>40</v>
      </c>
      <c r="B130" s="53"/>
      <c r="C130" s="46"/>
      <c r="D130" s="52"/>
      <c r="E130" s="31"/>
      <c r="F130" s="52"/>
      <c r="G130" s="31" t="s">
        <v>20</v>
      </c>
      <c r="H130" s="66"/>
      <c r="I130" s="31" t="s">
        <v>21</v>
      </c>
      <c r="J130" s="31"/>
      <c r="K130" s="31" t="s">
        <v>22</v>
      </c>
      <c r="L130" s="23">
        <f>C130*H130*0.00785</f>
        <v>0</v>
      </c>
      <c r="M130" s="31" t="s">
        <v>23</v>
      </c>
      <c r="N130" s="23">
        <f t="shared" si="18"/>
        <v>0</v>
      </c>
      <c r="O130" s="28">
        <f t="shared" si="19"/>
        <v>0</v>
      </c>
      <c r="P130" s="23">
        <f t="shared" si="20"/>
        <v>0</v>
      </c>
      <c r="R130" s="2"/>
      <c r="S130" s="8">
        <f t="shared" si="22"/>
        <v>0</v>
      </c>
    </row>
    <row r="131" spans="1:23" ht="15" hidden="1" customHeight="1" x14ac:dyDescent="0.25">
      <c r="A131" s="50" t="s">
        <v>41</v>
      </c>
      <c r="B131" s="74"/>
      <c r="C131" s="75"/>
      <c r="D131" s="60"/>
      <c r="E131" s="31" t="s">
        <v>20</v>
      </c>
      <c r="F131" s="52"/>
      <c r="G131" s="31" t="s">
        <v>20</v>
      </c>
      <c r="H131" s="66"/>
      <c r="I131" s="31" t="s">
        <v>21</v>
      </c>
      <c r="J131" s="31"/>
      <c r="K131" s="31" t="s">
        <v>22</v>
      </c>
      <c r="L131" s="23">
        <f>((D131+F131)-2*H131)*H131*0.00785</f>
        <v>0</v>
      </c>
      <c r="M131" s="31" t="s">
        <v>23</v>
      </c>
      <c r="N131" s="23">
        <f t="shared" si="18"/>
        <v>0</v>
      </c>
      <c r="O131" s="28">
        <f t="shared" si="19"/>
        <v>0</v>
      </c>
      <c r="P131" s="23">
        <f t="shared" si="20"/>
        <v>0</v>
      </c>
      <c r="Q131"/>
      <c r="R131" s="2"/>
    </row>
    <row r="132" spans="1:23" ht="15" hidden="1" customHeight="1" x14ac:dyDescent="0.25">
      <c r="A132" s="50" t="s">
        <v>41</v>
      </c>
      <c r="B132" s="74"/>
      <c r="C132" s="75"/>
      <c r="D132" s="52"/>
      <c r="E132" s="31" t="s">
        <v>20</v>
      </c>
      <c r="F132" s="52"/>
      <c r="G132" s="31" t="s">
        <v>20</v>
      </c>
      <c r="H132" s="66"/>
      <c r="I132" s="31" t="s">
        <v>21</v>
      </c>
      <c r="J132" s="31"/>
      <c r="K132" s="31" t="s">
        <v>22</v>
      </c>
      <c r="L132" s="23">
        <f>((C132+F132)-2*H132)*H132*0.00785</f>
        <v>0</v>
      </c>
      <c r="M132" s="31" t="s">
        <v>23</v>
      </c>
      <c r="N132" s="23">
        <f t="shared" ref="N132:N163" si="23">J132*L132</f>
        <v>0</v>
      </c>
      <c r="O132" s="28">
        <f t="shared" ref="O132:O145" si="24">ROUNDUP(J132/6,0)</f>
        <v>0</v>
      </c>
      <c r="P132" s="23">
        <f t="shared" ref="P132:P145" si="25">O132*6*L132</f>
        <v>0</v>
      </c>
      <c r="Q132"/>
      <c r="R132" s="2"/>
    </row>
    <row r="133" spans="1:23" ht="15" hidden="1" customHeight="1" x14ac:dyDescent="0.25">
      <c r="A133" s="50" t="s">
        <v>41</v>
      </c>
      <c r="B133" s="74"/>
      <c r="C133" s="75"/>
      <c r="D133" s="52"/>
      <c r="E133" s="31" t="s">
        <v>20</v>
      </c>
      <c r="F133" s="52"/>
      <c r="G133" s="31" t="s">
        <v>20</v>
      </c>
      <c r="H133" s="66"/>
      <c r="I133" s="31" t="s">
        <v>21</v>
      </c>
      <c r="J133" s="31"/>
      <c r="K133" s="31" t="s">
        <v>22</v>
      </c>
      <c r="L133" s="23">
        <f>((C133+F133)-2*H133)*H133*0.00785</f>
        <v>0</v>
      </c>
      <c r="M133" s="31" t="s">
        <v>23</v>
      </c>
      <c r="N133" s="23">
        <f t="shared" si="23"/>
        <v>0</v>
      </c>
      <c r="O133" s="28">
        <f t="shared" si="24"/>
        <v>0</v>
      </c>
      <c r="P133" s="23">
        <f t="shared" si="25"/>
        <v>0</v>
      </c>
      <c r="R133" s="2"/>
    </row>
    <row r="134" spans="1:23" ht="15" hidden="1" customHeight="1" x14ac:dyDescent="0.25">
      <c r="A134" s="50" t="s">
        <v>41</v>
      </c>
      <c r="B134" s="74"/>
      <c r="C134" s="75"/>
      <c r="D134" s="60"/>
      <c r="E134" s="31" t="s">
        <v>20</v>
      </c>
      <c r="F134" s="52"/>
      <c r="G134" s="31" t="s">
        <v>20</v>
      </c>
      <c r="H134" s="66"/>
      <c r="I134" s="31" t="s">
        <v>21</v>
      </c>
      <c r="J134" s="31"/>
      <c r="K134" s="31" t="s">
        <v>22</v>
      </c>
      <c r="L134" s="23">
        <f>((D134+F134)-2*H134)*H134*0.00785</f>
        <v>0</v>
      </c>
      <c r="M134" s="31" t="s">
        <v>23</v>
      </c>
      <c r="N134" s="23">
        <f t="shared" si="23"/>
        <v>0</v>
      </c>
      <c r="O134" s="28">
        <f t="shared" si="24"/>
        <v>0</v>
      </c>
      <c r="P134" s="23">
        <f t="shared" si="25"/>
        <v>0</v>
      </c>
      <c r="R134" s="2"/>
    </row>
    <row r="135" spans="1:23" ht="15" hidden="1" customHeight="1" x14ac:dyDescent="0.25">
      <c r="A135" s="50" t="s">
        <v>41</v>
      </c>
      <c r="B135" s="74"/>
      <c r="C135" s="75"/>
      <c r="D135" s="52"/>
      <c r="E135" s="31" t="s">
        <v>20</v>
      </c>
      <c r="F135" s="52"/>
      <c r="G135" s="31" t="s">
        <v>20</v>
      </c>
      <c r="H135" s="66"/>
      <c r="I135" s="31" t="s">
        <v>21</v>
      </c>
      <c r="J135" s="31"/>
      <c r="K135" s="31" t="s">
        <v>22</v>
      </c>
      <c r="L135" s="23">
        <f>((C135+F135)-2*H135)*H135*0.00785</f>
        <v>0</v>
      </c>
      <c r="M135" s="31" t="s">
        <v>23</v>
      </c>
      <c r="N135" s="23">
        <f t="shared" si="23"/>
        <v>0</v>
      </c>
      <c r="O135" s="28">
        <f t="shared" si="24"/>
        <v>0</v>
      </c>
      <c r="P135" s="23">
        <f t="shared" si="25"/>
        <v>0</v>
      </c>
      <c r="R135" s="2"/>
    </row>
    <row r="136" spans="1:23" ht="15" hidden="1" customHeight="1" x14ac:dyDescent="0.25">
      <c r="A136" s="50" t="s">
        <v>41</v>
      </c>
      <c r="B136" s="74"/>
      <c r="C136" s="75"/>
      <c r="D136" s="52"/>
      <c r="E136" s="31" t="s">
        <v>20</v>
      </c>
      <c r="F136" s="52"/>
      <c r="G136" s="31" t="s">
        <v>20</v>
      </c>
      <c r="H136" s="66"/>
      <c r="I136" s="31" t="s">
        <v>21</v>
      </c>
      <c r="J136" s="31"/>
      <c r="K136" s="31" t="s">
        <v>22</v>
      </c>
      <c r="L136" s="23">
        <f>((C136+F136)-2*H136)*H136*0.00785</f>
        <v>0</v>
      </c>
      <c r="M136" s="31" t="s">
        <v>23</v>
      </c>
      <c r="N136" s="23">
        <f t="shared" si="23"/>
        <v>0</v>
      </c>
      <c r="O136" s="28">
        <f t="shared" si="24"/>
        <v>0</v>
      </c>
      <c r="P136" s="23">
        <f t="shared" si="25"/>
        <v>0</v>
      </c>
      <c r="R136" s="2"/>
    </row>
    <row r="137" spans="1:23" ht="15" hidden="1" customHeight="1" x14ac:dyDescent="0.25">
      <c r="A137" s="50" t="s">
        <v>41</v>
      </c>
      <c r="B137" s="74"/>
      <c r="C137" s="75"/>
      <c r="D137" s="60"/>
      <c r="E137" s="31" t="s">
        <v>20</v>
      </c>
      <c r="F137" s="52"/>
      <c r="G137" s="31" t="s">
        <v>20</v>
      </c>
      <c r="H137" s="66"/>
      <c r="I137" s="31" t="s">
        <v>21</v>
      </c>
      <c r="J137" s="31"/>
      <c r="K137" s="31" t="s">
        <v>22</v>
      </c>
      <c r="L137" s="23">
        <f>((D137+F137)-2*H137)*H137*0.00785</f>
        <v>0</v>
      </c>
      <c r="M137" s="31" t="s">
        <v>23</v>
      </c>
      <c r="N137" s="23">
        <f t="shared" si="23"/>
        <v>0</v>
      </c>
      <c r="O137" s="28">
        <f t="shared" si="24"/>
        <v>0</v>
      </c>
      <c r="P137" s="23">
        <f t="shared" si="25"/>
        <v>0</v>
      </c>
      <c r="R137" s="2"/>
    </row>
    <row r="138" spans="1:23" ht="15" hidden="1" customHeight="1" x14ac:dyDescent="0.25">
      <c r="A138" s="50" t="s">
        <v>41</v>
      </c>
      <c r="B138" s="74"/>
      <c r="C138" s="75"/>
      <c r="D138" s="52"/>
      <c r="E138" s="31" t="s">
        <v>20</v>
      </c>
      <c r="F138" s="52"/>
      <c r="G138" s="31" t="s">
        <v>20</v>
      </c>
      <c r="H138" s="66"/>
      <c r="I138" s="31" t="s">
        <v>21</v>
      </c>
      <c r="J138" s="31"/>
      <c r="K138" s="31" t="s">
        <v>22</v>
      </c>
      <c r="L138" s="23">
        <f>((C138+F138)-2*H138)*H138*0.00785</f>
        <v>0</v>
      </c>
      <c r="M138" s="31" t="s">
        <v>23</v>
      </c>
      <c r="N138" s="23">
        <f t="shared" si="23"/>
        <v>0</v>
      </c>
      <c r="O138" s="28">
        <f t="shared" si="24"/>
        <v>0</v>
      </c>
      <c r="P138" s="23">
        <f t="shared" si="25"/>
        <v>0</v>
      </c>
      <c r="R138" s="2"/>
    </row>
    <row r="139" spans="1:23" ht="15" hidden="1" customHeight="1" x14ac:dyDescent="0.25">
      <c r="A139" s="50" t="s">
        <v>41</v>
      </c>
      <c r="B139" s="74"/>
      <c r="C139" s="75"/>
      <c r="D139" s="52"/>
      <c r="E139" s="31" t="s">
        <v>20</v>
      </c>
      <c r="F139" s="52"/>
      <c r="G139" s="31" t="s">
        <v>20</v>
      </c>
      <c r="H139" s="66"/>
      <c r="I139" s="31" t="s">
        <v>21</v>
      </c>
      <c r="J139" s="31"/>
      <c r="K139" s="31" t="s">
        <v>22</v>
      </c>
      <c r="L139" s="23">
        <f>((C139+F139)-2*H139)*H139*0.00785</f>
        <v>0</v>
      </c>
      <c r="M139" s="31" t="s">
        <v>23</v>
      </c>
      <c r="N139" s="23">
        <f t="shared" si="23"/>
        <v>0</v>
      </c>
      <c r="O139" s="28">
        <f t="shared" si="24"/>
        <v>0</v>
      </c>
      <c r="P139" s="23">
        <f t="shared" si="25"/>
        <v>0</v>
      </c>
      <c r="R139" s="2"/>
    </row>
    <row r="140" spans="1:23" ht="15" hidden="1" customHeight="1" x14ac:dyDescent="0.25">
      <c r="A140" s="50" t="s">
        <v>41</v>
      </c>
      <c r="B140" s="74"/>
      <c r="C140" s="75"/>
      <c r="D140" s="60"/>
      <c r="E140" s="31" t="s">
        <v>20</v>
      </c>
      <c r="F140" s="52"/>
      <c r="G140" s="31" t="s">
        <v>20</v>
      </c>
      <c r="H140" s="66"/>
      <c r="I140" s="31" t="s">
        <v>21</v>
      </c>
      <c r="J140" s="31"/>
      <c r="K140" s="31" t="s">
        <v>22</v>
      </c>
      <c r="L140" s="23">
        <f>((D140+F140)-2*H140)*H140*0.00785</f>
        <v>0</v>
      </c>
      <c r="M140" s="31" t="s">
        <v>23</v>
      </c>
      <c r="N140" s="23">
        <f t="shared" si="23"/>
        <v>0</v>
      </c>
      <c r="O140" s="28">
        <f t="shared" si="24"/>
        <v>0</v>
      </c>
      <c r="P140" s="23">
        <f t="shared" si="25"/>
        <v>0</v>
      </c>
      <c r="R140" s="2"/>
      <c r="S140" s="8">
        <f t="shared" ref="S140:S153" si="26">O185*6-J185</f>
        <v>0</v>
      </c>
      <c r="U140" s="8" t="s">
        <v>42</v>
      </c>
    </row>
    <row r="141" spans="1:23" ht="15" hidden="1" customHeight="1" x14ac:dyDescent="0.25">
      <c r="A141" s="50" t="s">
        <v>41</v>
      </c>
      <c r="B141" s="74"/>
      <c r="C141" s="75"/>
      <c r="D141" s="52"/>
      <c r="E141" s="31" t="s">
        <v>20</v>
      </c>
      <c r="F141" s="52"/>
      <c r="G141" s="31" t="s">
        <v>20</v>
      </c>
      <c r="H141" s="66"/>
      <c r="I141" s="31" t="s">
        <v>21</v>
      </c>
      <c r="J141" s="31"/>
      <c r="K141" s="31" t="s">
        <v>22</v>
      </c>
      <c r="L141" s="23">
        <f>((C141+F141)-2*H141)*H141*0.00785</f>
        <v>0</v>
      </c>
      <c r="M141" s="31" t="s">
        <v>23</v>
      </c>
      <c r="N141" s="23">
        <f t="shared" si="23"/>
        <v>0</v>
      </c>
      <c r="O141" s="28">
        <f t="shared" si="24"/>
        <v>0</v>
      </c>
      <c r="P141" s="23">
        <f t="shared" si="25"/>
        <v>0</v>
      </c>
      <c r="R141" s="2"/>
      <c r="S141" s="8">
        <f t="shared" si="26"/>
        <v>0</v>
      </c>
    </row>
    <row r="142" spans="1:23" ht="15" hidden="1" customHeight="1" x14ac:dyDescent="0.25">
      <c r="A142" s="50" t="s">
        <v>41</v>
      </c>
      <c r="B142" s="74"/>
      <c r="C142" s="75"/>
      <c r="D142" s="52"/>
      <c r="E142" s="31" t="s">
        <v>20</v>
      </c>
      <c r="F142" s="52"/>
      <c r="G142" s="31" t="s">
        <v>20</v>
      </c>
      <c r="H142" s="66"/>
      <c r="I142" s="31" t="s">
        <v>21</v>
      </c>
      <c r="J142" s="31"/>
      <c r="K142" s="31" t="s">
        <v>22</v>
      </c>
      <c r="L142" s="23">
        <f>((C142+F142)-2*H142)*H142*0.00785</f>
        <v>0</v>
      </c>
      <c r="M142" s="31" t="s">
        <v>23</v>
      </c>
      <c r="N142" s="23">
        <f t="shared" si="23"/>
        <v>0</v>
      </c>
      <c r="O142" s="28">
        <f t="shared" si="24"/>
        <v>0</v>
      </c>
      <c r="P142" s="23">
        <f t="shared" si="25"/>
        <v>0</v>
      </c>
      <c r="R142" s="2"/>
      <c r="S142" s="8">
        <f t="shared" si="26"/>
        <v>0</v>
      </c>
    </row>
    <row r="143" spans="1:23" ht="15" hidden="1" customHeight="1" x14ac:dyDescent="0.25">
      <c r="A143" s="31" t="s">
        <v>43</v>
      </c>
      <c r="B143" s="52"/>
      <c r="C143" s="31">
        <v>2</v>
      </c>
      <c r="D143" s="52" t="s">
        <v>44</v>
      </c>
      <c r="E143" s="29">
        <v>0</v>
      </c>
      <c r="F143" s="52" t="s">
        <v>45</v>
      </c>
      <c r="G143" s="31" t="s">
        <v>20</v>
      </c>
      <c r="H143" s="66"/>
      <c r="I143" s="31" t="s">
        <v>21</v>
      </c>
      <c r="J143" s="31"/>
      <c r="K143" s="31" t="s">
        <v>22</v>
      </c>
      <c r="L143" s="23">
        <f>((PI()*((C143*25.4+E143*25.4)/2)*2)/1000)*H143*7.85</f>
        <v>0</v>
      </c>
      <c r="M143" s="31" t="s">
        <v>23</v>
      </c>
      <c r="N143" s="23">
        <f t="shared" si="23"/>
        <v>0</v>
      </c>
      <c r="O143" s="28">
        <f t="shared" si="24"/>
        <v>0</v>
      </c>
      <c r="P143" s="23">
        <f t="shared" si="25"/>
        <v>0</v>
      </c>
      <c r="R143" s="2"/>
      <c r="S143" s="8">
        <f t="shared" si="26"/>
        <v>0</v>
      </c>
    </row>
    <row r="144" spans="1:23" ht="15" hidden="1" customHeight="1" x14ac:dyDescent="0.25">
      <c r="A144" s="31" t="s">
        <v>43</v>
      </c>
      <c r="B144" s="52"/>
      <c r="C144" s="31">
        <v>1</v>
      </c>
      <c r="D144" s="52" t="s">
        <v>44</v>
      </c>
      <c r="E144" s="29">
        <v>0</v>
      </c>
      <c r="F144" s="52" t="s">
        <v>45</v>
      </c>
      <c r="G144" s="31" t="s">
        <v>20</v>
      </c>
      <c r="H144" s="66"/>
      <c r="I144" s="31" t="s">
        <v>21</v>
      </c>
      <c r="J144" s="31"/>
      <c r="K144" s="31" t="s">
        <v>22</v>
      </c>
      <c r="L144" s="23">
        <f>((PI()*((C144*25.4+E144*25.4)/2)*2)/1000)*H144*7.85</f>
        <v>0</v>
      </c>
      <c r="M144" s="31" t="s">
        <v>23</v>
      </c>
      <c r="N144" s="23">
        <f t="shared" si="23"/>
        <v>0</v>
      </c>
      <c r="O144" s="28">
        <f t="shared" si="24"/>
        <v>0</v>
      </c>
      <c r="P144" s="23">
        <f t="shared" si="25"/>
        <v>0</v>
      </c>
      <c r="R144" s="2"/>
      <c r="S144" s="8">
        <f t="shared" si="26"/>
        <v>0</v>
      </c>
      <c r="U144" s="8" t="s">
        <v>46</v>
      </c>
    </row>
    <row r="145" spans="1:21" ht="15" hidden="1" customHeight="1" x14ac:dyDescent="0.25">
      <c r="A145" s="31" t="s">
        <v>43</v>
      </c>
      <c r="B145" s="52"/>
      <c r="C145" s="31">
        <v>1</v>
      </c>
      <c r="D145" s="52" t="s">
        <v>44</v>
      </c>
      <c r="E145" s="29">
        <v>0.5</v>
      </c>
      <c r="F145" s="52" t="s">
        <v>45</v>
      </c>
      <c r="G145" s="31" t="s">
        <v>20</v>
      </c>
      <c r="H145" s="66"/>
      <c r="I145" s="31" t="s">
        <v>21</v>
      </c>
      <c r="J145" s="31"/>
      <c r="K145" s="31" t="s">
        <v>22</v>
      </c>
      <c r="L145" s="23">
        <f>((PI()*((C145*25.4+E145*25.4)/2)*2)/1000)*H145*7.85</f>
        <v>0</v>
      </c>
      <c r="M145" s="31" t="s">
        <v>23</v>
      </c>
      <c r="N145" s="23">
        <f t="shared" si="23"/>
        <v>0</v>
      </c>
      <c r="O145" s="28">
        <f t="shared" si="24"/>
        <v>0</v>
      </c>
      <c r="P145" s="23">
        <f t="shared" si="25"/>
        <v>0</v>
      </c>
      <c r="R145" s="2"/>
      <c r="S145" s="8">
        <f t="shared" si="26"/>
        <v>0</v>
      </c>
      <c r="U145" s="8" t="s">
        <v>47</v>
      </c>
    </row>
    <row r="146" spans="1:21" ht="15" hidden="1" customHeight="1" x14ac:dyDescent="0.25">
      <c r="A146" s="31" t="s">
        <v>48</v>
      </c>
      <c r="B146" s="52"/>
      <c r="C146" s="31"/>
      <c r="D146" s="52"/>
      <c r="E146" s="31"/>
      <c r="F146" s="52"/>
      <c r="G146" s="31"/>
      <c r="H146" s="52"/>
      <c r="I146" s="31" t="s">
        <v>49</v>
      </c>
      <c r="J146" s="31"/>
      <c r="K146" s="31" t="s">
        <v>22</v>
      </c>
      <c r="L146" s="23">
        <v>13</v>
      </c>
      <c r="M146" s="31" t="s">
        <v>23</v>
      </c>
      <c r="N146" s="23">
        <f t="shared" si="23"/>
        <v>0</v>
      </c>
      <c r="O146" s="28">
        <f t="shared" ref="O146:O174" si="27">ROUNDUP(J146/12,0)</f>
        <v>0</v>
      </c>
      <c r="P146" s="23">
        <f t="shared" ref="P146:P174" si="28">O146*12*L146</f>
        <v>0</v>
      </c>
      <c r="R146" s="2"/>
      <c r="S146" s="8">
        <f t="shared" si="26"/>
        <v>0</v>
      </c>
      <c r="U146" s="8" t="s">
        <v>50</v>
      </c>
    </row>
    <row r="147" spans="1:21" ht="15" hidden="1" customHeight="1" x14ac:dyDescent="0.25">
      <c r="A147" s="31" t="s">
        <v>51</v>
      </c>
      <c r="B147" s="52"/>
      <c r="C147" s="31"/>
      <c r="D147" s="52"/>
      <c r="E147" s="31"/>
      <c r="F147" s="52"/>
      <c r="G147" s="31"/>
      <c r="H147" s="52"/>
      <c r="I147" s="31" t="s">
        <v>49</v>
      </c>
      <c r="J147" s="31"/>
      <c r="K147" s="31" t="s">
        <v>22</v>
      </c>
      <c r="L147" s="23">
        <v>18</v>
      </c>
      <c r="M147" s="31" t="s">
        <v>23</v>
      </c>
      <c r="N147" s="23">
        <f t="shared" si="23"/>
        <v>0</v>
      </c>
      <c r="O147" s="28">
        <f t="shared" si="27"/>
        <v>0</v>
      </c>
      <c r="P147" s="23">
        <f t="shared" si="28"/>
        <v>0</v>
      </c>
      <c r="R147" s="2"/>
      <c r="S147" s="8">
        <f t="shared" si="26"/>
        <v>0</v>
      </c>
    </row>
    <row r="148" spans="1:21" ht="15" hidden="1" customHeight="1" x14ac:dyDescent="0.25">
      <c r="A148" s="31" t="s">
        <v>52</v>
      </c>
      <c r="B148" s="52"/>
      <c r="C148" s="31"/>
      <c r="D148" s="52"/>
      <c r="E148" s="31"/>
      <c r="F148" s="52"/>
      <c r="G148" s="31"/>
      <c r="H148" s="52"/>
      <c r="I148" s="31" t="s">
        <v>49</v>
      </c>
      <c r="J148" s="31"/>
      <c r="K148" s="31" t="s">
        <v>22</v>
      </c>
      <c r="L148" s="23">
        <v>22.5</v>
      </c>
      <c r="M148" s="31" t="s">
        <v>23</v>
      </c>
      <c r="N148" s="23">
        <f t="shared" si="23"/>
        <v>0</v>
      </c>
      <c r="O148" s="28">
        <f t="shared" si="27"/>
        <v>0</v>
      </c>
      <c r="P148" s="23">
        <f t="shared" si="28"/>
        <v>0</v>
      </c>
      <c r="R148" s="2"/>
      <c r="S148" s="8">
        <f t="shared" si="26"/>
        <v>0</v>
      </c>
    </row>
    <row r="149" spans="1:21" ht="15" hidden="1" customHeight="1" x14ac:dyDescent="0.25">
      <c r="A149" s="31" t="s">
        <v>53</v>
      </c>
      <c r="B149" s="52"/>
      <c r="C149" s="31"/>
      <c r="D149" s="52"/>
      <c r="E149" s="31"/>
      <c r="F149" s="52"/>
      <c r="G149" s="31"/>
      <c r="H149" s="52"/>
      <c r="I149" s="31" t="s">
        <v>49</v>
      </c>
      <c r="J149" s="31"/>
      <c r="K149" s="31" t="s">
        <v>22</v>
      </c>
      <c r="L149" s="23">
        <v>29.8</v>
      </c>
      <c r="M149" s="31" t="s">
        <v>23</v>
      </c>
      <c r="N149" s="23">
        <f t="shared" si="23"/>
        <v>0</v>
      </c>
      <c r="O149" s="28">
        <f t="shared" si="27"/>
        <v>0</v>
      </c>
      <c r="P149" s="23">
        <f t="shared" si="28"/>
        <v>0</v>
      </c>
      <c r="R149" s="2"/>
      <c r="S149" s="8">
        <f t="shared" si="26"/>
        <v>0</v>
      </c>
    </row>
    <row r="150" spans="1:21" ht="15" hidden="1" customHeight="1" x14ac:dyDescent="0.25">
      <c r="A150" s="31" t="s">
        <v>54</v>
      </c>
      <c r="B150" s="52"/>
      <c r="C150" s="31"/>
      <c r="D150" s="52"/>
      <c r="E150" s="31"/>
      <c r="F150" s="52"/>
      <c r="G150" s="31"/>
      <c r="H150" s="52"/>
      <c r="I150" s="31" t="s">
        <v>49</v>
      </c>
      <c r="J150" s="31"/>
      <c r="K150" s="31" t="s">
        <v>22</v>
      </c>
      <c r="L150" s="23">
        <v>37.1</v>
      </c>
      <c r="M150" s="31" t="s">
        <v>23</v>
      </c>
      <c r="N150" s="23">
        <f t="shared" si="23"/>
        <v>0</v>
      </c>
      <c r="O150" s="28">
        <f t="shared" si="27"/>
        <v>0</v>
      </c>
      <c r="P150" s="23">
        <f t="shared" si="28"/>
        <v>0</v>
      </c>
      <c r="R150" s="2"/>
      <c r="S150" s="8">
        <f t="shared" si="26"/>
        <v>0</v>
      </c>
    </row>
    <row r="151" spans="1:21" ht="15" hidden="1" customHeight="1" x14ac:dyDescent="0.25">
      <c r="A151" s="31" t="s">
        <v>55</v>
      </c>
      <c r="B151" s="52"/>
      <c r="C151" s="31"/>
      <c r="D151" s="52"/>
      <c r="E151" s="31"/>
      <c r="F151" s="52"/>
      <c r="G151" s="31"/>
      <c r="H151" s="52"/>
      <c r="I151" s="31" t="s">
        <v>49</v>
      </c>
      <c r="J151" s="31"/>
      <c r="K151" s="31" t="s">
        <v>22</v>
      </c>
      <c r="L151" s="23">
        <v>15</v>
      </c>
      <c r="M151" s="31" t="s">
        <v>23</v>
      </c>
      <c r="N151" s="23">
        <f t="shared" si="23"/>
        <v>0</v>
      </c>
      <c r="O151" s="28">
        <f t="shared" si="27"/>
        <v>0</v>
      </c>
      <c r="P151" s="23">
        <f t="shared" si="28"/>
        <v>0</v>
      </c>
      <c r="R151" s="2"/>
      <c r="S151" s="8">
        <f t="shared" si="26"/>
        <v>0</v>
      </c>
    </row>
    <row r="152" spans="1:21" ht="15" hidden="1" customHeight="1" x14ac:dyDescent="0.25">
      <c r="A152" s="31" t="s">
        <v>56</v>
      </c>
      <c r="B152" s="52"/>
      <c r="C152" s="31"/>
      <c r="D152" s="52"/>
      <c r="E152" s="31"/>
      <c r="F152" s="52"/>
      <c r="G152" s="31"/>
      <c r="H152" s="52"/>
      <c r="I152" s="31" t="s">
        <v>49</v>
      </c>
      <c r="J152" s="31"/>
      <c r="K152" s="31" t="s">
        <v>22</v>
      </c>
      <c r="L152" s="23">
        <v>19.3</v>
      </c>
      <c r="M152" s="31" t="s">
        <v>23</v>
      </c>
      <c r="N152" s="23">
        <f t="shared" si="23"/>
        <v>0</v>
      </c>
      <c r="O152" s="28">
        <f t="shared" si="27"/>
        <v>0</v>
      </c>
      <c r="P152" s="23">
        <f t="shared" si="28"/>
        <v>0</v>
      </c>
      <c r="R152" s="2"/>
      <c r="S152" s="8">
        <f t="shared" si="26"/>
        <v>0</v>
      </c>
    </row>
    <row r="153" spans="1:21" ht="15" hidden="1" customHeight="1" x14ac:dyDescent="0.25">
      <c r="A153" s="31" t="s">
        <v>57</v>
      </c>
      <c r="B153" s="52"/>
      <c r="C153" s="31"/>
      <c r="D153" s="52"/>
      <c r="E153" s="31"/>
      <c r="F153" s="52"/>
      <c r="G153" s="31"/>
      <c r="H153" s="52"/>
      <c r="I153" s="31" t="s">
        <v>49</v>
      </c>
      <c r="J153" s="31"/>
      <c r="K153" s="31" t="s">
        <v>22</v>
      </c>
      <c r="L153" s="23">
        <v>26.6</v>
      </c>
      <c r="M153" s="31" t="s">
        <v>23</v>
      </c>
      <c r="N153" s="23">
        <f t="shared" si="23"/>
        <v>0</v>
      </c>
      <c r="O153" s="28">
        <f t="shared" si="27"/>
        <v>0</v>
      </c>
      <c r="P153" s="23">
        <f t="shared" si="28"/>
        <v>0</v>
      </c>
      <c r="R153" s="2"/>
      <c r="S153" s="8">
        <f t="shared" si="26"/>
        <v>0</v>
      </c>
    </row>
    <row r="154" spans="1:21" ht="15" hidden="1" customHeight="1" x14ac:dyDescent="0.25">
      <c r="A154" s="31" t="s">
        <v>58</v>
      </c>
      <c r="B154" s="52"/>
      <c r="C154" s="31"/>
      <c r="D154" s="52"/>
      <c r="E154" s="31"/>
      <c r="F154" s="52"/>
      <c r="G154" s="31"/>
      <c r="H154" s="52"/>
      <c r="I154" s="31" t="s">
        <v>49</v>
      </c>
      <c r="J154" s="31"/>
      <c r="K154" s="31" t="s">
        <v>22</v>
      </c>
      <c r="L154" s="23">
        <v>35.9</v>
      </c>
      <c r="M154" s="31" t="s">
        <v>23</v>
      </c>
      <c r="N154" s="23">
        <f t="shared" si="23"/>
        <v>0</v>
      </c>
      <c r="O154" s="28">
        <f t="shared" si="27"/>
        <v>0</v>
      </c>
      <c r="P154" s="23">
        <f t="shared" si="28"/>
        <v>0</v>
      </c>
      <c r="R154" s="2"/>
    </row>
    <row r="155" spans="1:21" ht="15" hidden="1" customHeight="1" x14ac:dyDescent="0.25">
      <c r="A155" s="31" t="s">
        <v>59</v>
      </c>
      <c r="B155" s="52"/>
      <c r="C155" s="31"/>
      <c r="D155" s="52"/>
      <c r="E155" s="31"/>
      <c r="F155" s="52"/>
      <c r="G155" s="31"/>
      <c r="H155" s="52"/>
      <c r="I155" s="31" t="s">
        <v>49</v>
      </c>
      <c r="J155" s="31"/>
      <c r="K155" s="31" t="s">
        <v>22</v>
      </c>
      <c r="L155" s="23">
        <v>41.7</v>
      </c>
      <c r="M155" s="31" t="s">
        <v>23</v>
      </c>
      <c r="N155" s="23">
        <f t="shared" si="23"/>
        <v>0</v>
      </c>
      <c r="O155" s="28">
        <f t="shared" si="27"/>
        <v>0</v>
      </c>
      <c r="P155" s="23">
        <f t="shared" si="28"/>
        <v>0</v>
      </c>
      <c r="R155" s="2"/>
    </row>
    <row r="156" spans="1:21" ht="15" hidden="1" customHeight="1" x14ac:dyDescent="0.25">
      <c r="A156" s="31" t="s">
        <v>60</v>
      </c>
      <c r="B156" s="52"/>
      <c r="C156" s="31"/>
      <c r="D156" s="52"/>
      <c r="E156" s="31"/>
      <c r="F156" s="52"/>
      <c r="G156" s="31"/>
      <c r="H156" s="52"/>
      <c r="I156" s="31" t="s">
        <v>49</v>
      </c>
      <c r="J156" s="31"/>
      <c r="K156" s="31" t="s">
        <v>22</v>
      </c>
      <c r="L156" s="23">
        <v>46.1</v>
      </c>
      <c r="M156" s="31" t="s">
        <v>23</v>
      </c>
      <c r="N156" s="23">
        <f t="shared" si="23"/>
        <v>0</v>
      </c>
      <c r="O156" s="28">
        <f t="shared" si="27"/>
        <v>0</v>
      </c>
      <c r="P156" s="23">
        <f t="shared" si="28"/>
        <v>0</v>
      </c>
      <c r="R156" s="2"/>
    </row>
    <row r="157" spans="1:21" ht="15" hidden="1" customHeight="1" x14ac:dyDescent="0.25">
      <c r="A157" s="31" t="s">
        <v>61</v>
      </c>
      <c r="B157" s="52"/>
      <c r="C157" s="31"/>
      <c r="D157" s="52"/>
      <c r="E157" s="31"/>
      <c r="F157" s="52"/>
      <c r="G157" s="31"/>
      <c r="H157" s="52"/>
      <c r="I157" s="31" t="s">
        <v>49</v>
      </c>
      <c r="J157" s="31"/>
      <c r="K157" s="31" t="s">
        <v>22</v>
      </c>
      <c r="L157" s="23">
        <v>53</v>
      </c>
      <c r="M157" s="31" t="s">
        <v>23</v>
      </c>
      <c r="N157" s="23">
        <f t="shared" si="23"/>
        <v>0</v>
      </c>
      <c r="O157" s="28">
        <f t="shared" si="27"/>
        <v>0</v>
      </c>
      <c r="P157" s="23">
        <f t="shared" si="28"/>
        <v>0</v>
      </c>
      <c r="R157" s="2"/>
    </row>
    <row r="158" spans="1:21" ht="15" hidden="1" customHeight="1" x14ac:dyDescent="0.25">
      <c r="A158" s="31" t="s">
        <v>62</v>
      </c>
      <c r="B158" s="52"/>
      <c r="C158" s="31"/>
      <c r="D158" s="52"/>
      <c r="E158" s="31"/>
      <c r="F158" s="52"/>
      <c r="G158" s="31"/>
      <c r="H158" s="52"/>
      <c r="I158" s="31" t="s">
        <v>49</v>
      </c>
      <c r="J158" s="31"/>
      <c r="K158" s="31" t="s">
        <v>22</v>
      </c>
      <c r="L158" s="23">
        <v>17.899999999999999</v>
      </c>
      <c r="M158" s="31" t="s">
        <v>23</v>
      </c>
      <c r="N158" s="23">
        <f t="shared" si="23"/>
        <v>0</v>
      </c>
      <c r="O158" s="28">
        <f t="shared" si="27"/>
        <v>0</v>
      </c>
      <c r="P158" s="23">
        <f t="shared" si="28"/>
        <v>0</v>
      </c>
      <c r="R158" s="2"/>
    </row>
    <row r="159" spans="1:21" ht="15" hidden="1" customHeight="1" x14ac:dyDescent="0.25">
      <c r="A159" s="31" t="s">
        <v>63</v>
      </c>
      <c r="B159" s="52"/>
      <c r="C159" s="31"/>
      <c r="D159" s="52"/>
      <c r="E159" s="31"/>
      <c r="F159" s="52"/>
      <c r="G159" s="31"/>
      <c r="H159" s="52"/>
      <c r="I159" s="31" t="s">
        <v>49</v>
      </c>
      <c r="J159" s="31"/>
      <c r="K159" s="31" t="s">
        <v>22</v>
      </c>
      <c r="L159" s="23">
        <v>32.700000000000003</v>
      </c>
      <c r="M159" s="31" t="s">
        <v>23</v>
      </c>
      <c r="N159" s="23">
        <f t="shared" si="23"/>
        <v>0</v>
      </c>
      <c r="O159" s="28">
        <f t="shared" si="27"/>
        <v>0</v>
      </c>
      <c r="P159" s="23">
        <f t="shared" si="28"/>
        <v>0</v>
      </c>
      <c r="R159" s="2"/>
    </row>
    <row r="160" spans="1:21" ht="15" hidden="1" customHeight="1" x14ac:dyDescent="0.25">
      <c r="A160" s="31" t="s">
        <v>64</v>
      </c>
      <c r="B160" s="52"/>
      <c r="C160" s="31"/>
      <c r="D160" s="52"/>
      <c r="E160" s="31"/>
      <c r="F160" s="52"/>
      <c r="G160" s="31"/>
      <c r="H160" s="52"/>
      <c r="I160" s="31" t="s">
        <v>49</v>
      </c>
      <c r="J160" s="31"/>
      <c r="K160" s="31" t="s">
        <v>22</v>
      </c>
      <c r="L160" s="23">
        <v>62</v>
      </c>
      <c r="M160" s="31" t="s">
        <v>23</v>
      </c>
      <c r="N160" s="23">
        <f t="shared" si="23"/>
        <v>0</v>
      </c>
      <c r="O160" s="28">
        <f t="shared" si="27"/>
        <v>0</v>
      </c>
      <c r="P160" s="23">
        <f t="shared" si="28"/>
        <v>0</v>
      </c>
      <c r="R160" s="2"/>
    </row>
    <row r="161" spans="1:18" ht="15" hidden="1" customHeight="1" x14ac:dyDescent="0.25">
      <c r="A161" s="31" t="s">
        <v>65</v>
      </c>
      <c r="B161" s="52"/>
      <c r="C161" s="31"/>
      <c r="D161" s="52"/>
      <c r="E161" s="31"/>
      <c r="F161" s="52"/>
      <c r="G161" s="31"/>
      <c r="H161" s="52"/>
      <c r="I161" s="31" t="s">
        <v>49</v>
      </c>
      <c r="J161" s="31"/>
      <c r="K161" s="31" t="s">
        <v>22</v>
      </c>
      <c r="L161" s="23">
        <v>38.700000000000003</v>
      </c>
      <c r="M161" s="31" t="s">
        <v>23</v>
      </c>
      <c r="N161" s="23">
        <f t="shared" si="23"/>
        <v>0</v>
      </c>
      <c r="O161" s="28">
        <f t="shared" si="27"/>
        <v>0</v>
      </c>
      <c r="P161" s="23">
        <f t="shared" si="28"/>
        <v>0</v>
      </c>
      <c r="R161" s="2"/>
    </row>
    <row r="162" spans="1:18" ht="15" hidden="1" customHeight="1" x14ac:dyDescent="0.25">
      <c r="A162" s="31" t="s">
        <v>66</v>
      </c>
      <c r="B162" s="52"/>
      <c r="C162" s="31"/>
      <c r="D162" s="52"/>
      <c r="E162" s="31"/>
      <c r="F162" s="52"/>
      <c r="G162" s="31"/>
      <c r="H162" s="52"/>
      <c r="I162" s="31" t="s">
        <v>49</v>
      </c>
      <c r="J162" s="31"/>
      <c r="K162" s="31" t="s">
        <v>22</v>
      </c>
      <c r="L162" s="23">
        <v>44.5</v>
      </c>
      <c r="M162" s="31" t="s">
        <v>23</v>
      </c>
      <c r="N162" s="23">
        <f t="shared" si="23"/>
        <v>0</v>
      </c>
      <c r="O162" s="28">
        <f t="shared" si="27"/>
        <v>0</v>
      </c>
      <c r="P162" s="23">
        <f t="shared" si="28"/>
        <v>0</v>
      </c>
      <c r="R162" s="2"/>
    </row>
    <row r="163" spans="1:18" ht="15" hidden="1" customHeight="1" x14ac:dyDescent="0.25">
      <c r="A163" s="31" t="s">
        <v>67</v>
      </c>
      <c r="B163" s="52"/>
      <c r="C163" s="31"/>
      <c r="D163" s="52"/>
      <c r="E163" s="31"/>
      <c r="F163" s="52"/>
      <c r="G163" s="31"/>
      <c r="H163" s="52"/>
      <c r="I163" s="31" t="s">
        <v>49</v>
      </c>
      <c r="J163" s="31"/>
      <c r="K163" s="31" t="s">
        <v>22</v>
      </c>
      <c r="L163" s="23">
        <v>39</v>
      </c>
      <c r="M163" s="31" t="s">
        <v>23</v>
      </c>
      <c r="N163" s="23">
        <f t="shared" si="23"/>
        <v>0</v>
      </c>
      <c r="O163" s="28">
        <f t="shared" si="27"/>
        <v>0</v>
      </c>
      <c r="P163" s="23">
        <f t="shared" si="28"/>
        <v>0</v>
      </c>
      <c r="R163" s="2"/>
    </row>
    <row r="164" spans="1:18" ht="15" hidden="1" customHeight="1" x14ac:dyDescent="0.25">
      <c r="A164" s="31" t="s">
        <v>68</v>
      </c>
      <c r="B164" s="52"/>
      <c r="C164" s="31"/>
      <c r="D164" s="52"/>
      <c r="E164" s="31"/>
      <c r="F164" s="52"/>
      <c r="G164" s="31"/>
      <c r="H164" s="52"/>
      <c r="I164" s="31" t="s">
        <v>49</v>
      </c>
      <c r="J164" s="31"/>
      <c r="K164" s="31" t="s">
        <v>22</v>
      </c>
      <c r="L164" s="23">
        <v>46.1</v>
      </c>
      <c r="M164" s="31" t="s">
        <v>23</v>
      </c>
      <c r="N164" s="23">
        <f t="shared" ref="N164:N198" si="29">J164*L164</f>
        <v>0</v>
      </c>
      <c r="O164" s="28">
        <f t="shared" si="27"/>
        <v>0</v>
      </c>
      <c r="P164" s="23">
        <f t="shared" si="28"/>
        <v>0</v>
      </c>
      <c r="R164" s="2"/>
    </row>
    <row r="165" spans="1:18" ht="15" hidden="1" customHeight="1" x14ac:dyDescent="0.25">
      <c r="A165" s="31" t="s">
        <v>69</v>
      </c>
      <c r="B165" s="52"/>
      <c r="C165" s="31"/>
      <c r="D165" s="52"/>
      <c r="E165" s="31"/>
      <c r="F165" s="52"/>
      <c r="G165" s="31"/>
      <c r="H165" s="52"/>
      <c r="I165" s="31" t="s">
        <v>49</v>
      </c>
      <c r="J165" s="31"/>
      <c r="K165" s="31" t="s">
        <v>22</v>
      </c>
      <c r="L165" s="23">
        <v>67</v>
      </c>
      <c r="M165" s="31" t="s">
        <v>23</v>
      </c>
      <c r="N165" s="23">
        <f t="shared" si="29"/>
        <v>0</v>
      </c>
      <c r="O165" s="28">
        <f t="shared" si="27"/>
        <v>0</v>
      </c>
      <c r="P165" s="23">
        <f t="shared" si="28"/>
        <v>0</v>
      </c>
      <c r="R165" s="2"/>
    </row>
    <row r="166" spans="1:18" ht="15" hidden="1" customHeight="1" x14ac:dyDescent="0.25">
      <c r="A166" s="31" t="s">
        <v>70</v>
      </c>
      <c r="B166" s="52"/>
      <c r="C166" s="31"/>
      <c r="D166" s="52"/>
      <c r="E166" s="31"/>
      <c r="F166" s="52"/>
      <c r="G166" s="31"/>
      <c r="H166" s="52"/>
      <c r="I166" s="31" t="s">
        <v>49</v>
      </c>
      <c r="J166" s="31"/>
      <c r="K166" s="31" t="s">
        <v>22</v>
      </c>
      <c r="L166" s="23">
        <v>85</v>
      </c>
      <c r="M166" s="31" t="s">
        <v>23</v>
      </c>
      <c r="N166" s="23">
        <f t="shared" si="29"/>
        <v>0</v>
      </c>
      <c r="O166" s="28">
        <f t="shared" si="27"/>
        <v>0</v>
      </c>
      <c r="P166" s="23">
        <f t="shared" si="28"/>
        <v>0</v>
      </c>
      <c r="R166" s="2"/>
    </row>
    <row r="167" spans="1:18" ht="15" hidden="1" customHeight="1" x14ac:dyDescent="0.25">
      <c r="A167" s="31" t="s">
        <v>71</v>
      </c>
      <c r="B167" s="52"/>
      <c r="C167" s="31"/>
      <c r="D167" s="52"/>
      <c r="E167" s="31"/>
      <c r="F167" s="52"/>
      <c r="G167" s="31"/>
      <c r="H167" s="52"/>
      <c r="I167" s="31" t="s">
        <v>49</v>
      </c>
      <c r="J167" s="31"/>
      <c r="K167" s="31" t="s">
        <v>22</v>
      </c>
      <c r="L167" s="23">
        <v>52</v>
      </c>
      <c r="M167" s="31" t="s">
        <v>23</v>
      </c>
      <c r="N167" s="23">
        <f t="shared" si="29"/>
        <v>0</v>
      </c>
      <c r="O167" s="28">
        <f t="shared" si="27"/>
        <v>0</v>
      </c>
      <c r="P167" s="23">
        <f t="shared" si="28"/>
        <v>0</v>
      </c>
      <c r="R167" s="2"/>
    </row>
    <row r="168" spans="1:18" ht="15" hidden="1" customHeight="1" x14ac:dyDescent="0.25">
      <c r="A168" s="31" t="s">
        <v>72</v>
      </c>
      <c r="B168" s="52"/>
      <c r="C168" s="31"/>
      <c r="D168" s="52"/>
      <c r="E168" s="31"/>
      <c r="F168" s="52"/>
      <c r="G168" s="31"/>
      <c r="H168" s="52"/>
      <c r="I168" s="31" t="s">
        <v>49</v>
      </c>
      <c r="J168" s="31"/>
      <c r="K168" s="31" t="s">
        <v>22</v>
      </c>
      <c r="L168" s="23">
        <v>60</v>
      </c>
      <c r="M168" s="31" t="s">
        <v>23</v>
      </c>
      <c r="N168" s="23">
        <f t="shared" si="29"/>
        <v>0</v>
      </c>
      <c r="O168" s="28">
        <f t="shared" si="27"/>
        <v>0</v>
      </c>
      <c r="P168" s="23">
        <f t="shared" si="28"/>
        <v>0</v>
      </c>
      <c r="R168" s="2"/>
    </row>
    <row r="169" spans="1:18" ht="15" hidden="1" customHeight="1" x14ac:dyDescent="0.25">
      <c r="A169" s="31" t="s">
        <v>73</v>
      </c>
      <c r="B169" s="52"/>
      <c r="C169" s="31"/>
      <c r="D169" s="52"/>
      <c r="E169" s="31"/>
      <c r="F169" s="52"/>
      <c r="G169" s="31"/>
      <c r="H169" s="52"/>
      <c r="I169" s="31" t="s">
        <v>49</v>
      </c>
      <c r="J169" s="31"/>
      <c r="K169" s="31" t="s">
        <v>22</v>
      </c>
      <c r="L169" s="23">
        <v>74</v>
      </c>
      <c r="M169" s="31" t="s">
        <v>23</v>
      </c>
      <c r="N169" s="23">
        <f t="shared" si="29"/>
        <v>0</v>
      </c>
      <c r="O169" s="28">
        <f t="shared" si="27"/>
        <v>0</v>
      </c>
      <c r="P169" s="23">
        <f t="shared" si="28"/>
        <v>0</v>
      </c>
      <c r="R169" s="2"/>
    </row>
    <row r="170" spans="1:18" ht="15" hidden="1" customHeight="1" x14ac:dyDescent="0.25">
      <c r="A170" s="31" t="s">
        <v>74</v>
      </c>
      <c r="B170" s="52"/>
      <c r="C170" s="31"/>
      <c r="D170" s="52"/>
      <c r="E170" s="31"/>
      <c r="F170" s="52"/>
      <c r="G170" s="31"/>
      <c r="H170" s="52"/>
      <c r="I170" s="31" t="s">
        <v>49</v>
      </c>
      <c r="J170" s="31"/>
      <c r="K170" s="31" t="s">
        <v>22</v>
      </c>
      <c r="L170" s="23">
        <v>66</v>
      </c>
      <c r="M170" s="31" t="s">
        <v>23</v>
      </c>
      <c r="N170" s="23">
        <f t="shared" si="29"/>
        <v>0</v>
      </c>
      <c r="O170" s="28">
        <f t="shared" si="27"/>
        <v>0</v>
      </c>
      <c r="P170" s="23">
        <f t="shared" si="28"/>
        <v>0</v>
      </c>
      <c r="R170" s="2"/>
    </row>
    <row r="171" spans="1:18" ht="15" hidden="1" customHeight="1" x14ac:dyDescent="0.25">
      <c r="A171" s="31" t="s">
        <v>75</v>
      </c>
      <c r="B171" s="52"/>
      <c r="C171" s="31"/>
      <c r="D171" s="52"/>
      <c r="E171" s="31"/>
      <c r="F171" s="52"/>
      <c r="G171" s="31"/>
      <c r="H171" s="52"/>
      <c r="I171" s="31" t="s">
        <v>49</v>
      </c>
      <c r="J171" s="31"/>
      <c r="K171" s="31" t="s">
        <v>22</v>
      </c>
      <c r="L171" s="23">
        <v>72</v>
      </c>
      <c r="M171" s="31" t="s">
        <v>23</v>
      </c>
      <c r="N171" s="23">
        <f t="shared" si="29"/>
        <v>0</v>
      </c>
      <c r="O171" s="28">
        <f t="shared" si="27"/>
        <v>0</v>
      </c>
      <c r="P171" s="23">
        <f t="shared" si="28"/>
        <v>0</v>
      </c>
      <c r="R171" s="2"/>
    </row>
    <row r="172" spans="1:18" ht="15" hidden="1" customHeight="1" x14ac:dyDescent="0.25">
      <c r="A172" s="31" t="s">
        <v>76</v>
      </c>
      <c r="B172" s="52"/>
      <c r="C172" s="31"/>
      <c r="D172" s="52"/>
      <c r="E172" s="31"/>
      <c r="F172" s="52"/>
      <c r="G172" s="31"/>
      <c r="H172" s="52"/>
      <c r="I172" s="31" t="s">
        <v>49</v>
      </c>
      <c r="J172" s="31"/>
      <c r="K172" s="31" t="s">
        <v>22</v>
      </c>
      <c r="L172" s="23">
        <v>82</v>
      </c>
      <c r="M172" s="31" t="s">
        <v>23</v>
      </c>
      <c r="N172" s="23">
        <f t="shared" si="29"/>
        <v>0</v>
      </c>
      <c r="O172" s="28">
        <f t="shared" si="27"/>
        <v>0</v>
      </c>
      <c r="P172" s="23">
        <f t="shared" si="28"/>
        <v>0</v>
      </c>
      <c r="R172" s="2"/>
    </row>
    <row r="173" spans="1:18" ht="15" hidden="1" customHeight="1" x14ac:dyDescent="0.25">
      <c r="A173" s="31" t="s">
        <v>77</v>
      </c>
      <c r="B173" s="52"/>
      <c r="C173" s="31"/>
      <c r="D173" s="52"/>
      <c r="E173" s="31"/>
      <c r="F173" s="52"/>
      <c r="G173" s="31"/>
      <c r="H173" s="52"/>
      <c r="I173" s="31" t="s">
        <v>49</v>
      </c>
      <c r="J173" s="31"/>
      <c r="K173" s="31" t="s">
        <v>22</v>
      </c>
      <c r="L173" s="23">
        <v>92</v>
      </c>
      <c r="M173" s="31" t="s">
        <v>23</v>
      </c>
      <c r="N173" s="23">
        <f t="shared" si="29"/>
        <v>0</v>
      </c>
      <c r="O173" s="28">
        <f t="shared" si="27"/>
        <v>0</v>
      </c>
      <c r="P173" s="23">
        <f t="shared" si="28"/>
        <v>0</v>
      </c>
      <c r="R173" s="2"/>
    </row>
    <row r="174" spans="1:18" ht="15" hidden="1" customHeight="1" x14ac:dyDescent="0.25">
      <c r="A174" s="31" t="s">
        <v>78</v>
      </c>
      <c r="B174" s="52"/>
      <c r="C174" s="31"/>
      <c r="D174" s="52"/>
      <c r="E174" s="31"/>
      <c r="F174" s="52"/>
      <c r="G174" s="31"/>
      <c r="H174" s="52"/>
      <c r="I174" s="31" t="s">
        <v>49</v>
      </c>
      <c r="J174" s="31"/>
      <c r="K174" s="31" t="s">
        <v>22</v>
      </c>
      <c r="L174" s="23">
        <v>174</v>
      </c>
      <c r="M174" s="31" t="s">
        <v>23</v>
      </c>
      <c r="N174" s="23">
        <f t="shared" si="29"/>
        <v>0</v>
      </c>
      <c r="O174" s="28">
        <f t="shared" si="27"/>
        <v>0</v>
      </c>
      <c r="P174" s="23">
        <f t="shared" si="28"/>
        <v>0</v>
      </c>
      <c r="R174" s="2"/>
    </row>
    <row r="175" spans="1:18" ht="15" hidden="1" customHeight="1" x14ac:dyDescent="0.25">
      <c r="A175" s="31" t="s">
        <v>79</v>
      </c>
      <c r="B175" s="52"/>
      <c r="C175" s="31"/>
      <c r="D175" s="52"/>
      <c r="E175" s="31"/>
      <c r="F175" s="52"/>
      <c r="G175" s="31"/>
      <c r="H175" s="52"/>
      <c r="I175" s="31" t="s">
        <v>21</v>
      </c>
      <c r="J175" s="31"/>
      <c r="K175" s="31" t="s">
        <v>22</v>
      </c>
      <c r="L175" s="23">
        <v>0.87</v>
      </c>
      <c r="M175" s="31" t="s">
        <v>23</v>
      </c>
      <c r="N175" s="23">
        <f t="shared" si="29"/>
        <v>0</v>
      </c>
      <c r="O175" s="28">
        <f t="shared" ref="O175:O189" si="30">ROUNDUP(J175/6,0)</f>
        <v>0</v>
      </c>
      <c r="P175" s="23">
        <f t="shared" ref="P175:P198" si="31">O175*6*L175</f>
        <v>0</v>
      </c>
      <c r="R175" s="2"/>
    </row>
    <row r="176" spans="1:18" ht="15" hidden="1" customHeight="1" x14ac:dyDescent="0.25">
      <c r="A176" s="31" t="s">
        <v>80</v>
      </c>
      <c r="B176" s="52"/>
      <c r="C176" s="31"/>
      <c r="D176" s="52"/>
      <c r="E176" s="31"/>
      <c r="F176" s="52"/>
      <c r="G176" s="31"/>
      <c r="H176" s="52"/>
      <c r="I176" s="31" t="s">
        <v>21</v>
      </c>
      <c r="J176" s="31"/>
      <c r="K176" s="31" t="s">
        <v>22</v>
      </c>
      <c r="L176" s="23">
        <v>1.19</v>
      </c>
      <c r="M176" s="31" t="s">
        <v>23</v>
      </c>
      <c r="N176" s="23">
        <f t="shared" si="29"/>
        <v>0</v>
      </c>
      <c r="O176" s="28">
        <f t="shared" si="30"/>
        <v>0</v>
      </c>
      <c r="P176" s="23">
        <f t="shared" si="31"/>
        <v>0</v>
      </c>
      <c r="R176" s="2"/>
    </row>
    <row r="177" spans="1:18" ht="15" hidden="1" customHeight="1" x14ac:dyDescent="0.25">
      <c r="A177" s="31" t="s">
        <v>81</v>
      </c>
      <c r="B177" s="52"/>
      <c r="C177" s="31"/>
      <c r="D177" s="52"/>
      <c r="E177" s="31"/>
      <c r="F177" s="52"/>
      <c r="G177" s="31"/>
      <c r="H177" s="52"/>
      <c r="I177" s="31" t="s">
        <v>21</v>
      </c>
      <c r="J177" s="31"/>
      <c r="K177" s="31" t="s">
        <v>22</v>
      </c>
      <c r="L177" s="23">
        <v>1.5</v>
      </c>
      <c r="M177" s="31" t="s">
        <v>23</v>
      </c>
      <c r="N177" s="23">
        <f t="shared" si="29"/>
        <v>0</v>
      </c>
      <c r="O177" s="28">
        <f t="shared" si="30"/>
        <v>0</v>
      </c>
      <c r="P177" s="23">
        <f t="shared" si="31"/>
        <v>0</v>
      </c>
      <c r="R177" s="2"/>
    </row>
    <row r="178" spans="1:18" ht="15" hidden="1" customHeight="1" x14ac:dyDescent="0.25">
      <c r="A178" s="31" t="s">
        <v>82</v>
      </c>
      <c r="B178" s="52"/>
      <c r="C178" s="31"/>
      <c r="D178" s="52"/>
      <c r="E178" s="31"/>
      <c r="F178" s="52"/>
      <c r="G178" s="31"/>
      <c r="H178" s="52"/>
      <c r="I178" s="31" t="s">
        <v>21</v>
      </c>
      <c r="J178" s="31"/>
      <c r="K178" s="31" t="s">
        <v>22</v>
      </c>
      <c r="L178" s="23">
        <v>1.83</v>
      </c>
      <c r="M178" s="31" t="s">
        <v>23</v>
      </c>
      <c r="N178" s="23">
        <f t="shared" si="29"/>
        <v>0</v>
      </c>
      <c r="O178" s="28">
        <f t="shared" si="30"/>
        <v>0</v>
      </c>
      <c r="P178" s="23">
        <f t="shared" si="31"/>
        <v>0</v>
      </c>
      <c r="R178" s="2"/>
    </row>
    <row r="179" spans="1:18" ht="15" hidden="1" customHeight="1" x14ac:dyDescent="0.25">
      <c r="A179" s="31" t="s">
        <v>83</v>
      </c>
      <c r="B179" s="52"/>
      <c r="C179" s="31"/>
      <c r="D179" s="52"/>
      <c r="E179" s="31"/>
      <c r="F179" s="52"/>
      <c r="G179" s="31"/>
      <c r="H179" s="52"/>
      <c r="I179" s="31" t="s">
        <v>21</v>
      </c>
      <c r="J179" s="31"/>
      <c r="K179" s="31" t="s">
        <v>22</v>
      </c>
      <c r="L179" s="23">
        <v>2.68</v>
      </c>
      <c r="M179" s="31" t="s">
        <v>23</v>
      </c>
      <c r="N179" s="23">
        <f t="shared" si="29"/>
        <v>0</v>
      </c>
      <c r="O179" s="28">
        <f t="shared" si="30"/>
        <v>0</v>
      </c>
      <c r="P179" s="23">
        <f t="shared" si="31"/>
        <v>0</v>
      </c>
      <c r="R179" s="2"/>
    </row>
    <row r="180" spans="1:18" ht="15" hidden="1" customHeight="1" x14ac:dyDescent="0.25">
      <c r="A180" s="31" t="s">
        <v>84</v>
      </c>
      <c r="B180" s="52"/>
      <c r="C180" s="31"/>
      <c r="D180" s="52"/>
      <c r="E180" s="31"/>
      <c r="F180" s="52"/>
      <c r="G180" s="31"/>
      <c r="H180" s="52"/>
      <c r="I180" s="31" t="s">
        <v>21</v>
      </c>
      <c r="J180" s="31"/>
      <c r="K180" s="31" t="s">
        <v>22</v>
      </c>
      <c r="L180" s="23">
        <v>2.14</v>
      </c>
      <c r="M180" s="31" t="s">
        <v>23</v>
      </c>
      <c r="N180" s="23">
        <f t="shared" si="29"/>
        <v>0</v>
      </c>
      <c r="O180" s="28">
        <f t="shared" si="30"/>
        <v>0</v>
      </c>
      <c r="P180" s="23">
        <f t="shared" si="31"/>
        <v>0</v>
      </c>
      <c r="R180" s="2"/>
    </row>
    <row r="181" spans="1:18" ht="15" hidden="1" customHeight="1" x14ac:dyDescent="0.25">
      <c r="A181" s="31" t="s">
        <v>85</v>
      </c>
      <c r="B181" s="52"/>
      <c r="C181" s="31"/>
      <c r="D181" s="52"/>
      <c r="E181" s="31"/>
      <c r="F181" s="52"/>
      <c r="G181" s="31"/>
      <c r="H181" s="52"/>
      <c r="I181" s="31" t="s">
        <v>21</v>
      </c>
      <c r="J181" s="31"/>
      <c r="K181" s="31" t="s">
        <v>22</v>
      </c>
      <c r="L181" s="23">
        <v>3.15</v>
      </c>
      <c r="M181" s="31" t="s">
        <v>23</v>
      </c>
      <c r="N181" s="23">
        <f t="shared" si="29"/>
        <v>0</v>
      </c>
      <c r="O181" s="28">
        <f t="shared" si="30"/>
        <v>0</v>
      </c>
      <c r="P181" s="23">
        <f t="shared" si="31"/>
        <v>0</v>
      </c>
      <c r="R181" s="2"/>
    </row>
    <row r="182" spans="1:18" ht="15" hidden="1" customHeight="1" x14ac:dyDescent="0.25">
      <c r="A182" s="31" t="s">
        <v>86</v>
      </c>
      <c r="B182" s="52"/>
      <c r="C182" s="31"/>
      <c r="D182" s="52"/>
      <c r="E182" s="31"/>
      <c r="F182" s="52"/>
      <c r="G182" s="31"/>
      <c r="H182" s="52"/>
      <c r="I182" s="31" t="s">
        <v>21</v>
      </c>
      <c r="J182" s="31"/>
      <c r="K182" s="31" t="s">
        <v>22</v>
      </c>
      <c r="L182" s="23">
        <v>2.46</v>
      </c>
      <c r="M182" s="31" t="s">
        <v>23</v>
      </c>
      <c r="N182" s="23">
        <f t="shared" si="29"/>
        <v>0</v>
      </c>
      <c r="O182" s="28">
        <f t="shared" si="30"/>
        <v>0</v>
      </c>
      <c r="P182" s="23">
        <f t="shared" si="31"/>
        <v>0</v>
      </c>
      <c r="R182" s="2"/>
    </row>
    <row r="183" spans="1:18" ht="15" hidden="1" customHeight="1" x14ac:dyDescent="0.25">
      <c r="A183" s="31" t="s">
        <v>87</v>
      </c>
      <c r="B183" s="52"/>
      <c r="C183" s="31"/>
      <c r="D183" s="52"/>
      <c r="E183" s="31"/>
      <c r="F183" s="52"/>
      <c r="G183" s="31"/>
      <c r="H183" s="52"/>
      <c r="I183" s="31" t="s">
        <v>21</v>
      </c>
      <c r="J183" s="31"/>
      <c r="K183" s="31" t="s">
        <v>22</v>
      </c>
      <c r="L183" s="23">
        <v>3.63</v>
      </c>
      <c r="M183" s="31" t="s">
        <v>23</v>
      </c>
      <c r="N183" s="23">
        <f t="shared" si="29"/>
        <v>0</v>
      </c>
      <c r="O183" s="28">
        <f t="shared" si="30"/>
        <v>0</v>
      </c>
      <c r="P183" s="23">
        <f t="shared" si="31"/>
        <v>0</v>
      </c>
      <c r="R183" s="2"/>
    </row>
    <row r="184" spans="1:18" ht="15" hidden="1" customHeight="1" x14ac:dyDescent="0.25">
      <c r="A184" s="31" t="s">
        <v>88</v>
      </c>
      <c r="B184" s="52"/>
      <c r="C184" s="31"/>
      <c r="D184" s="52"/>
      <c r="E184" s="31"/>
      <c r="F184" s="52"/>
      <c r="G184" s="31"/>
      <c r="H184" s="52"/>
      <c r="I184" s="31" t="s">
        <v>21</v>
      </c>
      <c r="J184" s="31"/>
      <c r="K184" s="31" t="s">
        <v>22</v>
      </c>
      <c r="L184" s="23">
        <v>4.74</v>
      </c>
      <c r="M184" s="31" t="s">
        <v>23</v>
      </c>
      <c r="N184" s="23">
        <f t="shared" si="29"/>
        <v>0</v>
      </c>
      <c r="O184" s="28">
        <f t="shared" si="30"/>
        <v>0</v>
      </c>
      <c r="P184" s="23">
        <f t="shared" si="31"/>
        <v>0</v>
      </c>
    </row>
    <row r="185" spans="1:18" ht="15" hidden="1" customHeight="1" x14ac:dyDescent="0.25">
      <c r="A185" s="31" t="s">
        <v>89</v>
      </c>
      <c r="B185" s="52"/>
      <c r="C185" s="31"/>
      <c r="D185" s="52"/>
      <c r="E185" s="31"/>
      <c r="F185" s="52"/>
      <c r="G185" s="31"/>
      <c r="H185" s="52"/>
      <c r="I185" s="31" t="s">
        <v>21</v>
      </c>
      <c r="J185" s="31"/>
      <c r="K185" s="31" t="s">
        <v>22</v>
      </c>
      <c r="L185" s="23">
        <v>4.57</v>
      </c>
      <c r="M185" s="31" t="s">
        <v>23</v>
      </c>
      <c r="N185" s="23">
        <f t="shared" si="29"/>
        <v>0</v>
      </c>
      <c r="O185" s="28">
        <f t="shared" si="30"/>
        <v>0</v>
      </c>
      <c r="P185" s="23">
        <f t="shared" si="31"/>
        <v>0</v>
      </c>
    </row>
    <row r="186" spans="1:18" ht="15" hidden="1" customHeight="1" x14ac:dyDescent="0.25">
      <c r="A186" s="31" t="s">
        <v>90</v>
      </c>
      <c r="B186" s="52"/>
      <c r="C186" s="31"/>
      <c r="D186" s="52"/>
      <c r="E186" s="31"/>
      <c r="F186" s="52"/>
      <c r="G186" s="31"/>
      <c r="H186" s="52"/>
      <c r="I186" s="31" t="s">
        <v>21</v>
      </c>
      <c r="J186" s="31"/>
      <c r="K186" s="31" t="s">
        <v>22</v>
      </c>
      <c r="L186" s="23">
        <v>6.1</v>
      </c>
      <c r="M186" s="31" t="s">
        <v>23</v>
      </c>
      <c r="N186" s="23">
        <f t="shared" si="29"/>
        <v>0</v>
      </c>
      <c r="O186" s="28">
        <f t="shared" si="30"/>
        <v>0</v>
      </c>
      <c r="P186" s="23">
        <f t="shared" si="31"/>
        <v>0</v>
      </c>
    </row>
    <row r="187" spans="1:18" ht="15" hidden="1" customHeight="1" x14ac:dyDescent="0.25">
      <c r="A187" s="31" t="s">
        <v>91</v>
      </c>
      <c r="B187" s="52"/>
      <c r="C187" s="31"/>
      <c r="D187" s="52"/>
      <c r="E187" s="31"/>
      <c r="F187" s="52"/>
      <c r="G187" s="31"/>
      <c r="H187" s="52"/>
      <c r="I187" s="31" t="s">
        <v>21</v>
      </c>
      <c r="J187" s="31"/>
      <c r="K187" s="31" t="s">
        <v>22</v>
      </c>
      <c r="L187" s="23">
        <v>5.52</v>
      </c>
      <c r="M187" s="31" t="s">
        <v>23</v>
      </c>
      <c r="N187" s="23">
        <f t="shared" si="29"/>
        <v>0</v>
      </c>
      <c r="O187" s="28">
        <f t="shared" si="30"/>
        <v>0</v>
      </c>
      <c r="P187" s="23">
        <f t="shared" si="31"/>
        <v>0</v>
      </c>
    </row>
    <row r="188" spans="1:18" ht="15" hidden="1" customHeight="1" x14ac:dyDescent="0.25">
      <c r="A188" s="46" t="s">
        <v>92</v>
      </c>
      <c r="B188" s="53"/>
      <c r="C188" s="46"/>
      <c r="D188" s="53"/>
      <c r="E188" s="46"/>
      <c r="F188" s="53"/>
      <c r="G188" s="31"/>
      <c r="H188" s="52"/>
      <c r="I188" s="31" t="s">
        <v>21</v>
      </c>
      <c r="J188" s="31"/>
      <c r="K188" s="31" t="s">
        <v>22</v>
      </c>
      <c r="L188" s="23">
        <v>7.29</v>
      </c>
      <c r="M188" s="31" t="s">
        <v>23</v>
      </c>
      <c r="N188" s="23">
        <f t="shared" si="29"/>
        <v>0</v>
      </c>
      <c r="O188" s="28">
        <f t="shared" si="30"/>
        <v>0</v>
      </c>
      <c r="P188" s="23">
        <f t="shared" si="31"/>
        <v>0</v>
      </c>
    </row>
    <row r="189" spans="1:18" ht="15" customHeight="1" x14ac:dyDescent="0.25">
      <c r="A189" s="76" t="s">
        <v>93</v>
      </c>
      <c r="B189" s="77"/>
      <c r="C189" s="77"/>
      <c r="D189" s="77"/>
      <c r="E189" s="77"/>
      <c r="F189" s="78"/>
      <c r="G189" s="45" t="s">
        <v>94</v>
      </c>
      <c r="H189" s="66">
        <v>19.05</v>
      </c>
      <c r="I189" s="31" t="s">
        <v>21</v>
      </c>
      <c r="J189" s="31">
        <v>30</v>
      </c>
      <c r="K189" s="31" t="s">
        <v>22</v>
      </c>
      <c r="L189" s="23">
        <f t="shared" ref="L189:L196" si="32">((H189/2)*(H189/2))*3.141592654*0.00785</f>
        <v>2.2374302126820362</v>
      </c>
      <c r="M189" s="31" t="s">
        <v>23</v>
      </c>
      <c r="N189" s="23">
        <f t="shared" si="29"/>
        <v>67.122906380461089</v>
      </c>
      <c r="O189" s="28">
        <f t="shared" si="30"/>
        <v>5</v>
      </c>
      <c r="P189" s="23">
        <f t="shared" si="31"/>
        <v>67.122906380461089</v>
      </c>
      <c r="Q189">
        <v>251.93</v>
      </c>
    </row>
    <row r="190" spans="1:18" ht="15" hidden="1" customHeight="1" x14ac:dyDescent="0.25">
      <c r="A190" s="76" t="s">
        <v>93</v>
      </c>
      <c r="B190" s="77"/>
      <c r="C190" s="77"/>
      <c r="D190" s="77"/>
      <c r="E190" s="77"/>
      <c r="F190" s="78"/>
      <c r="G190" s="45" t="s">
        <v>94</v>
      </c>
      <c r="H190" s="66"/>
      <c r="I190" s="31" t="s">
        <v>21</v>
      </c>
      <c r="J190" s="31"/>
      <c r="K190" s="31" t="s">
        <v>22</v>
      </c>
      <c r="L190" s="23">
        <f t="shared" si="32"/>
        <v>0</v>
      </c>
      <c r="M190" s="31" t="s">
        <v>23</v>
      </c>
      <c r="N190" s="23">
        <f t="shared" si="29"/>
        <v>0</v>
      </c>
      <c r="O190" s="28">
        <f>ROUNDUP(J190/6,0.5)</f>
        <v>0</v>
      </c>
      <c r="P190" s="23">
        <f t="shared" si="31"/>
        <v>0</v>
      </c>
      <c r="Q190">
        <v>2.19</v>
      </c>
    </row>
    <row r="191" spans="1:18" ht="15" hidden="1" customHeight="1" x14ac:dyDescent="0.25">
      <c r="A191" s="76" t="s">
        <v>93</v>
      </c>
      <c r="B191" s="77"/>
      <c r="C191" s="77"/>
      <c r="D191" s="77"/>
      <c r="E191" s="77"/>
      <c r="F191" s="78"/>
      <c r="G191" s="45" t="s">
        <v>94</v>
      </c>
      <c r="H191" s="66"/>
      <c r="I191" s="31" t="s">
        <v>21</v>
      </c>
      <c r="J191" s="31"/>
      <c r="K191" s="31" t="s">
        <v>22</v>
      </c>
      <c r="L191" s="23">
        <f t="shared" si="32"/>
        <v>0</v>
      </c>
      <c r="M191" s="31" t="s">
        <v>23</v>
      </c>
      <c r="N191" s="23">
        <f t="shared" si="29"/>
        <v>0</v>
      </c>
      <c r="O191" s="31">
        <f t="shared" ref="O191:O198" si="33">ROUNDUP(J191/6,0)</f>
        <v>0</v>
      </c>
      <c r="P191" s="23">
        <f t="shared" si="31"/>
        <v>0</v>
      </c>
      <c r="Q191">
        <v>276.45999999999998</v>
      </c>
    </row>
    <row r="192" spans="1:18" ht="15" hidden="1" customHeight="1" x14ac:dyDescent="0.25">
      <c r="A192" s="76" t="s">
        <v>93</v>
      </c>
      <c r="B192" s="77"/>
      <c r="C192" s="77"/>
      <c r="D192" s="77"/>
      <c r="E192" s="77"/>
      <c r="F192" s="78"/>
      <c r="G192" s="45" t="s">
        <v>94</v>
      </c>
      <c r="H192" s="66"/>
      <c r="I192" s="31" t="s">
        <v>21</v>
      </c>
      <c r="J192" s="31"/>
      <c r="K192" s="31" t="s">
        <v>22</v>
      </c>
      <c r="L192" s="23">
        <f t="shared" si="32"/>
        <v>0</v>
      </c>
      <c r="M192" s="31" t="s">
        <v>23</v>
      </c>
      <c r="N192" s="23">
        <f t="shared" si="29"/>
        <v>0</v>
      </c>
      <c r="O192" s="31">
        <f t="shared" si="33"/>
        <v>0</v>
      </c>
      <c r="P192" s="23">
        <f t="shared" si="31"/>
        <v>0</v>
      </c>
    </row>
    <row r="193" spans="1:16" ht="15" hidden="1" customHeight="1" x14ac:dyDescent="0.25">
      <c r="A193" s="76" t="s">
        <v>93</v>
      </c>
      <c r="B193" s="77"/>
      <c r="C193" s="77"/>
      <c r="D193" s="77"/>
      <c r="E193" s="77"/>
      <c r="F193" s="78"/>
      <c r="G193" s="45" t="s">
        <v>94</v>
      </c>
      <c r="H193" s="66"/>
      <c r="I193" s="31" t="s">
        <v>21</v>
      </c>
      <c r="J193" s="31"/>
      <c r="K193" s="31" t="s">
        <v>22</v>
      </c>
      <c r="L193" s="23">
        <f t="shared" si="32"/>
        <v>0</v>
      </c>
      <c r="M193" s="31" t="s">
        <v>23</v>
      </c>
      <c r="N193" s="23">
        <f t="shared" si="29"/>
        <v>0</v>
      </c>
      <c r="O193" s="31">
        <f t="shared" si="33"/>
        <v>0</v>
      </c>
      <c r="P193" s="23">
        <f t="shared" si="31"/>
        <v>0</v>
      </c>
    </row>
    <row r="194" spans="1:16" ht="15" hidden="1" customHeight="1" x14ac:dyDescent="0.25">
      <c r="A194" s="76" t="s">
        <v>93</v>
      </c>
      <c r="B194" s="77"/>
      <c r="C194" s="77"/>
      <c r="D194" s="77"/>
      <c r="E194" s="77"/>
      <c r="F194" s="78"/>
      <c r="G194" s="45" t="s">
        <v>94</v>
      </c>
      <c r="H194" s="66"/>
      <c r="I194" s="31" t="s">
        <v>21</v>
      </c>
      <c r="J194" s="31"/>
      <c r="K194" s="31" t="s">
        <v>22</v>
      </c>
      <c r="L194" s="23">
        <f t="shared" si="32"/>
        <v>0</v>
      </c>
      <c r="M194" s="31" t="s">
        <v>23</v>
      </c>
      <c r="N194" s="23">
        <f t="shared" si="29"/>
        <v>0</v>
      </c>
      <c r="O194" s="31">
        <f t="shared" si="33"/>
        <v>0</v>
      </c>
      <c r="P194" s="23">
        <f t="shared" si="31"/>
        <v>0</v>
      </c>
    </row>
    <row r="195" spans="1:16" ht="15" hidden="1" customHeight="1" x14ac:dyDescent="0.25">
      <c r="A195" s="76" t="s">
        <v>93</v>
      </c>
      <c r="B195" s="77"/>
      <c r="C195" s="77"/>
      <c r="D195" s="77"/>
      <c r="E195" s="77"/>
      <c r="F195" s="78"/>
      <c r="G195" s="45" t="s">
        <v>94</v>
      </c>
      <c r="H195" s="66"/>
      <c r="I195" s="31" t="s">
        <v>21</v>
      </c>
      <c r="J195" s="31"/>
      <c r="K195" s="31" t="s">
        <v>22</v>
      </c>
      <c r="L195" s="23">
        <f t="shared" si="32"/>
        <v>0</v>
      </c>
      <c r="M195" s="31" t="s">
        <v>23</v>
      </c>
      <c r="N195" s="23">
        <f t="shared" si="29"/>
        <v>0</v>
      </c>
      <c r="O195" s="31">
        <f t="shared" si="33"/>
        <v>0</v>
      </c>
      <c r="P195" s="23">
        <f t="shared" si="31"/>
        <v>0</v>
      </c>
    </row>
    <row r="196" spans="1:16" ht="15" hidden="1" customHeight="1" x14ac:dyDescent="0.25">
      <c r="A196" s="76" t="s">
        <v>93</v>
      </c>
      <c r="B196" s="77"/>
      <c r="C196" s="77"/>
      <c r="D196" s="77"/>
      <c r="E196" s="77"/>
      <c r="F196" s="78"/>
      <c r="G196" s="45" t="s">
        <v>94</v>
      </c>
      <c r="H196" s="66"/>
      <c r="I196" s="31" t="s">
        <v>21</v>
      </c>
      <c r="J196" s="31"/>
      <c r="K196" s="31" t="s">
        <v>22</v>
      </c>
      <c r="L196" s="23">
        <f t="shared" si="32"/>
        <v>0</v>
      </c>
      <c r="M196" s="31" t="s">
        <v>23</v>
      </c>
      <c r="N196" s="23">
        <f t="shared" si="29"/>
        <v>0</v>
      </c>
      <c r="O196" s="31">
        <f t="shared" si="33"/>
        <v>0</v>
      </c>
      <c r="P196" s="23">
        <f t="shared" si="31"/>
        <v>0</v>
      </c>
    </row>
    <row r="197" spans="1:16" ht="15" hidden="1" customHeight="1" x14ac:dyDescent="0.25">
      <c r="A197" s="47" t="s">
        <v>95</v>
      </c>
      <c r="B197" s="54"/>
      <c r="C197" s="48">
        <v>0.5</v>
      </c>
      <c r="D197" s="54" t="s">
        <v>96</v>
      </c>
      <c r="E197" s="48"/>
      <c r="F197" s="54" t="s">
        <v>45</v>
      </c>
      <c r="G197" s="31" t="s">
        <v>97</v>
      </c>
      <c r="H197" s="66"/>
      <c r="I197" s="31" t="s">
        <v>21</v>
      </c>
      <c r="J197" s="31"/>
      <c r="K197" s="31" t="s">
        <v>22</v>
      </c>
      <c r="L197" s="23">
        <f>(H197*7.85)*(((C197*25.4)/1000)+((E197*25.4)/1000))</f>
        <v>0</v>
      </c>
      <c r="M197" s="31" t="s">
        <v>23</v>
      </c>
      <c r="N197" s="23">
        <f t="shared" si="29"/>
        <v>0</v>
      </c>
      <c r="O197" s="31">
        <f t="shared" si="33"/>
        <v>0</v>
      </c>
      <c r="P197" s="23">
        <f t="shared" si="31"/>
        <v>0</v>
      </c>
    </row>
    <row r="198" spans="1:16" ht="15" hidden="1" customHeight="1" x14ac:dyDescent="0.25">
      <c r="A198" s="31" t="s">
        <v>95</v>
      </c>
      <c r="B198" s="52"/>
      <c r="C198" s="29">
        <v>2</v>
      </c>
      <c r="D198" s="52" t="s">
        <v>96</v>
      </c>
      <c r="E198" s="29">
        <v>0.5</v>
      </c>
      <c r="F198" s="52" t="s">
        <v>45</v>
      </c>
      <c r="G198" s="31" t="s">
        <v>97</v>
      </c>
      <c r="H198" s="66"/>
      <c r="I198" s="31" t="s">
        <v>21</v>
      </c>
      <c r="J198" s="31"/>
      <c r="K198" s="31" t="s">
        <v>22</v>
      </c>
      <c r="L198" s="23">
        <f>(H198*7.85)*(((C198*25.4)/1000)+((E198*25.4)/1000))</f>
        <v>0</v>
      </c>
      <c r="M198" s="31" t="s">
        <v>23</v>
      </c>
      <c r="N198" s="23">
        <f t="shared" si="29"/>
        <v>0</v>
      </c>
      <c r="O198" s="31">
        <f t="shared" si="33"/>
        <v>0</v>
      </c>
      <c r="P198" s="23">
        <f t="shared" si="31"/>
        <v>0</v>
      </c>
    </row>
    <row r="199" spans="1:16" ht="15" customHeight="1" x14ac:dyDescent="0.25">
      <c r="A199" s="31" t="s">
        <v>98</v>
      </c>
      <c r="B199" s="52">
        <v>250</v>
      </c>
      <c r="C199" s="31"/>
      <c r="D199" s="52" t="s">
        <v>20</v>
      </c>
      <c r="E199" s="31">
        <v>250</v>
      </c>
      <c r="F199" s="52"/>
      <c r="G199" s="31" t="s">
        <v>97</v>
      </c>
      <c r="H199" s="66">
        <v>9.5299999999999994</v>
      </c>
      <c r="I199" s="31" t="s">
        <v>21</v>
      </c>
      <c r="J199" s="31">
        <v>11</v>
      </c>
      <c r="K199" s="31" t="s">
        <v>99</v>
      </c>
      <c r="L199" s="23">
        <f t="shared" ref="L199:L225" si="34">H199*7.85</f>
        <v>74.81049999999999</v>
      </c>
      <c r="M199" s="31" t="s">
        <v>100</v>
      </c>
      <c r="N199" s="23">
        <f t="shared" ref="N199:N227" si="35">((B199/1000)*(E199/1000))*L199*J199</f>
        <v>51.43221874999999</v>
      </c>
      <c r="O199" s="31">
        <v>0</v>
      </c>
      <c r="P199" s="23">
        <f t="shared" ref="P199:P227" si="36">N199</f>
        <v>51.43221874999999</v>
      </c>
    </row>
    <row r="200" spans="1:16" ht="15" hidden="1" customHeight="1" x14ac:dyDescent="0.25">
      <c r="A200" s="31" t="s">
        <v>101</v>
      </c>
      <c r="B200" s="52">
        <v>0</v>
      </c>
      <c r="C200" s="31"/>
      <c r="D200" s="52" t="s">
        <v>20</v>
      </c>
      <c r="E200" s="31">
        <v>0</v>
      </c>
      <c r="F200" s="52"/>
      <c r="G200" s="31" t="s">
        <v>97</v>
      </c>
      <c r="H200" s="66"/>
      <c r="I200" s="31" t="s">
        <v>21</v>
      </c>
      <c r="J200" s="31"/>
      <c r="K200" s="31" t="s">
        <v>99</v>
      </c>
      <c r="L200" s="23">
        <f t="shared" si="34"/>
        <v>0</v>
      </c>
      <c r="M200" s="31" t="s">
        <v>100</v>
      </c>
      <c r="N200" s="23">
        <f t="shared" si="35"/>
        <v>0</v>
      </c>
      <c r="O200" s="31">
        <v>0</v>
      </c>
      <c r="P200" s="23">
        <f t="shared" si="36"/>
        <v>0</v>
      </c>
    </row>
    <row r="201" spans="1:16" ht="15" hidden="1" customHeight="1" x14ac:dyDescent="0.25">
      <c r="A201" s="31" t="s">
        <v>102</v>
      </c>
      <c r="B201" s="52">
        <v>0</v>
      </c>
      <c r="C201" s="31"/>
      <c r="D201" s="52" t="s">
        <v>20</v>
      </c>
      <c r="E201" s="31">
        <v>0</v>
      </c>
      <c r="F201" s="52"/>
      <c r="G201" s="31" t="s">
        <v>97</v>
      </c>
      <c r="H201" s="66"/>
      <c r="I201" s="31" t="s">
        <v>21</v>
      </c>
      <c r="J201" s="31"/>
      <c r="K201" s="31" t="s">
        <v>99</v>
      </c>
      <c r="L201" s="23">
        <f t="shared" si="34"/>
        <v>0</v>
      </c>
      <c r="M201" s="31" t="s">
        <v>100</v>
      </c>
      <c r="N201" s="23">
        <f t="shared" si="35"/>
        <v>0</v>
      </c>
      <c r="O201" s="31">
        <v>0</v>
      </c>
      <c r="P201" s="23">
        <f t="shared" si="36"/>
        <v>0</v>
      </c>
    </row>
    <row r="202" spans="1:16" ht="15" hidden="1" customHeight="1" x14ac:dyDescent="0.25">
      <c r="A202" s="31" t="s">
        <v>103</v>
      </c>
      <c r="B202" s="52">
        <v>0</v>
      </c>
      <c r="C202" s="31"/>
      <c r="D202" s="52" t="s">
        <v>20</v>
      </c>
      <c r="E202" s="31">
        <v>0</v>
      </c>
      <c r="F202" s="52"/>
      <c r="G202" s="31" t="s">
        <v>97</v>
      </c>
      <c r="H202" s="66"/>
      <c r="I202" s="31" t="s">
        <v>21</v>
      </c>
      <c r="J202" s="31"/>
      <c r="K202" s="31" t="s">
        <v>99</v>
      </c>
      <c r="L202" s="23">
        <f t="shared" si="34"/>
        <v>0</v>
      </c>
      <c r="M202" s="31" t="s">
        <v>100</v>
      </c>
      <c r="N202" s="23">
        <f t="shared" si="35"/>
        <v>0</v>
      </c>
      <c r="O202" s="31">
        <v>0</v>
      </c>
      <c r="P202" s="23">
        <f t="shared" si="36"/>
        <v>0</v>
      </c>
    </row>
    <row r="203" spans="1:16" ht="15" hidden="1" customHeight="1" x14ac:dyDescent="0.25">
      <c r="A203" s="31" t="s">
        <v>104</v>
      </c>
      <c r="B203" s="52">
        <v>0</v>
      </c>
      <c r="C203" s="31"/>
      <c r="D203" s="52" t="s">
        <v>20</v>
      </c>
      <c r="E203" s="31">
        <v>0</v>
      </c>
      <c r="F203" s="52"/>
      <c r="G203" s="31" t="s">
        <v>97</v>
      </c>
      <c r="H203" s="66"/>
      <c r="I203" s="31" t="s">
        <v>21</v>
      </c>
      <c r="J203" s="31"/>
      <c r="K203" s="31" t="s">
        <v>99</v>
      </c>
      <c r="L203" s="23">
        <f t="shared" si="34"/>
        <v>0</v>
      </c>
      <c r="M203" s="31" t="s">
        <v>100</v>
      </c>
      <c r="N203" s="23">
        <f t="shared" si="35"/>
        <v>0</v>
      </c>
      <c r="O203" s="31">
        <v>0</v>
      </c>
      <c r="P203" s="23">
        <f t="shared" si="36"/>
        <v>0</v>
      </c>
    </row>
    <row r="204" spans="1:16" ht="15" hidden="1" customHeight="1" x14ac:dyDescent="0.25">
      <c r="A204" s="31" t="s">
        <v>105</v>
      </c>
      <c r="B204" s="52">
        <v>0</v>
      </c>
      <c r="C204" s="31"/>
      <c r="D204" s="52" t="s">
        <v>20</v>
      </c>
      <c r="E204" s="31">
        <v>0</v>
      </c>
      <c r="F204" s="52"/>
      <c r="G204" s="31" t="s">
        <v>97</v>
      </c>
      <c r="H204" s="66"/>
      <c r="I204" s="31" t="s">
        <v>21</v>
      </c>
      <c r="J204" s="31"/>
      <c r="K204" s="31" t="s">
        <v>99</v>
      </c>
      <c r="L204" s="23">
        <f t="shared" si="34"/>
        <v>0</v>
      </c>
      <c r="M204" s="31" t="s">
        <v>100</v>
      </c>
      <c r="N204" s="23">
        <f t="shared" si="35"/>
        <v>0</v>
      </c>
      <c r="O204" s="31">
        <v>0</v>
      </c>
      <c r="P204" s="23">
        <f t="shared" si="36"/>
        <v>0</v>
      </c>
    </row>
    <row r="205" spans="1:16" ht="15" hidden="1" customHeight="1" x14ac:dyDescent="0.25">
      <c r="A205" s="31" t="s">
        <v>106</v>
      </c>
      <c r="B205" s="52">
        <v>0</v>
      </c>
      <c r="C205" s="31"/>
      <c r="D205" s="52" t="s">
        <v>20</v>
      </c>
      <c r="E205" s="31">
        <v>0</v>
      </c>
      <c r="F205" s="52"/>
      <c r="G205" s="31" t="s">
        <v>97</v>
      </c>
      <c r="H205" s="66"/>
      <c r="I205" s="31" t="s">
        <v>21</v>
      </c>
      <c r="J205" s="31"/>
      <c r="K205" s="31" t="s">
        <v>99</v>
      </c>
      <c r="L205" s="23">
        <f t="shared" si="34"/>
        <v>0</v>
      </c>
      <c r="M205" s="31" t="s">
        <v>100</v>
      </c>
      <c r="N205" s="23">
        <f t="shared" si="35"/>
        <v>0</v>
      </c>
      <c r="O205" s="31"/>
      <c r="P205" s="23">
        <f t="shared" si="36"/>
        <v>0</v>
      </c>
    </row>
    <row r="206" spans="1:16" ht="15" hidden="1" customHeight="1" x14ac:dyDescent="0.25">
      <c r="A206" s="31" t="s">
        <v>107</v>
      </c>
      <c r="B206" s="52">
        <v>0</v>
      </c>
      <c r="C206" s="31"/>
      <c r="D206" s="52" t="s">
        <v>20</v>
      </c>
      <c r="E206" s="31">
        <v>0</v>
      </c>
      <c r="F206" s="52"/>
      <c r="G206" s="31" t="s">
        <v>97</v>
      </c>
      <c r="H206" s="66"/>
      <c r="I206" s="31" t="s">
        <v>21</v>
      </c>
      <c r="J206" s="31"/>
      <c r="K206" s="31" t="s">
        <v>99</v>
      </c>
      <c r="L206" s="23">
        <f t="shared" si="34"/>
        <v>0</v>
      </c>
      <c r="M206" s="31" t="s">
        <v>100</v>
      </c>
      <c r="N206" s="23">
        <f t="shared" si="35"/>
        <v>0</v>
      </c>
      <c r="O206" s="31">
        <v>0</v>
      </c>
      <c r="P206" s="23">
        <f t="shared" si="36"/>
        <v>0</v>
      </c>
    </row>
    <row r="207" spans="1:16" ht="15" hidden="1" customHeight="1" x14ac:dyDescent="0.25">
      <c r="A207" s="31" t="s">
        <v>108</v>
      </c>
      <c r="B207" s="52">
        <v>0</v>
      </c>
      <c r="C207" s="31"/>
      <c r="D207" s="52" t="s">
        <v>20</v>
      </c>
      <c r="E207" s="31">
        <v>0</v>
      </c>
      <c r="F207" s="52"/>
      <c r="G207" s="31" t="s">
        <v>97</v>
      </c>
      <c r="H207" s="66"/>
      <c r="I207" s="31" t="s">
        <v>21</v>
      </c>
      <c r="J207" s="31"/>
      <c r="K207" s="31" t="s">
        <v>99</v>
      </c>
      <c r="L207" s="23">
        <f t="shared" si="34"/>
        <v>0</v>
      </c>
      <c r="M207" s="31" t="s">
        <v>100</v>
      </c>
      <c r="N207" s="23">
        <f t="shared" si="35"/>
        <v>0</v>
      </c>
      <c r="O207" s="31">
        <v>0</v>
      </c>
      <c r="P207" s="23">
        <f t="shared" si="36"/>
        <v>0</v>
      </c>
    </row>
    <row r="208" spans="1:16" ht="15" hidden="1" customHeight="1" x14ac:dyDescent="0.25">
      <c r="A208" s="31" t="s">
        <v>109</v>
      </c>
      <c r="B208" s="52">
        <v>0</v>
      </c>
      <c r="C208" s="31"/>
      <c r="D208" s="52" t="s">
        <v>20</v>
      </c>
      <c r="E208" s="31">
        <v>0</v>
      </c>
      <c r="F208" s="52"/>
      <c r="G208" s="31" t="s">
        <v>97</v>
      </c>
      <c r="H208" s="66"/>
      <c r="I208" s="31" t="s">
        <v>21</v>
      </c>
      <c r="J208" s="31"/>
      <c r="K208" s="31" t="s">
        <v>99</v>
      </c>
      <c r="L208" s="23">
        <f t="shared" si="34"/>
        <v>0</v>
      </c>
      <c r="M208" s="31" t="s">
        <v>100</v>
      </c>
      <c r="N208" s="23">
        <f t="shared" si="35"/>
        <v>0</v>
      </c>
      <c r="O208" s="31">
        <v>0</v>
      </c>
      <c r="P208" s="23">
        <f t="shared" si="36"/>
        <v>0</v>
      </c>
    </row>
    <row r="209" spans="1:16" ht="15" hidden="1" customHeight="1" x14ac:dyDescent="0.25">
      <c r="A209" s="31" t="s">
        <v>110</v>
      </c>
      <c r="B209" s="52">
        <v>0</v>
      </c>
      <c r="C209" s="31"/>
      <c r="D209" s="52" t="s">
        <v>20</v>
      </c>
      <c r="E209" s="31">
        <v>0</v>
      </c>
      <c r="F209" s="52"/>
      <c r="G209" s="31" t="s">
        <v>97</v>
      </c>
      <c r="H209" s="66"/>
      <c r="I209" s="31" t="s">
        <v>21</v>
      </c>
      <c r="J209" s="31"/>
      <c r="K209" s="31" t="s">
        <v>99</v>
      </c>
      <c r="L209" s="23">
        <f t="shared" si="34"/>
        <v>0</v>
      </c>
      <c r="M209" s="31" t="s">
        <v>100</v>
      </c>
      <c r="N209" s="23">
        <f t="shared" si="35"/>
        <v>0</v>
      </c>
      <c r="O209" s="31">
        <v>0</v>
      </c>
      <c r="P209" s="23">
        <f t="shared" si="36"/>
        <v>0</v>
      </c>
    </row>
    <row r="210" spans="1:16" ht="15" hidden="1" customHeight="1" x14ac:dyDescent="0.25">
      <c r="A210" s="31" t="s">
        <v>111</v>
      </c>
      <c r="B210" s="52">
        <v>0</v>
      </c>
      <c r="C210" s="31"/>
      <c r="D210" s="52" t="s">
        <v>20</v>
      </c>
      <c r="E210" s="31">
        <v>0</v>
      </c>
      <c r="F210" s="52"/>
      <c r="G210" s="31" t="s">
        <v>97</v>
      </c>
      <c r="H210" s="66"/>
      <c r="I210" s="31" t="s">
        <v>21</v>
      </c>
      <c r="J210" s="31"/>
      <c r="K210" s="31" t="s">
        <v>99</v>
      </c>
      <c r="L210" s="23">
        <f t="shared" si="34"/>
        <v>0</v>
      </c>
      <c r="M210" s="31" t="s">
        <v>100</v>
      </c>
      <c r="N210" s="23">
        <f t="shared" si="35"/>
        <v>0</v>
      </c>
      <c r="O210" s="31">
        <v>0</v>
      </c>
      <c r="P210" s="23">
        <f t="shared" si="36"/>
        <v>0</v>
      </c>
    </row>
    <row r="211" spans="1:16" ht="15" hidden="1" customHeight="1" x14ac:dyDescent="0.25">
      <c r="A211" s="31" t="s">
        <v>112</v>
      </c>
      <c r="B211" s="52">
        <v>0</v>
      </c>
      <c r="C211" s="31"/>
      <c r="D211" s="52" t="s">
        <v>20</v>
      </c>
      <c r="E211" s="31">
        <v>0</v>
      </c>
      <c r="F211" s="52"/>
      <c r="G211" s="31" t="s">
        <v>97</v>
      </c>
      <c r="H211" s="66"/>
      <c r="I211" s="31" t="s">
        <v>21</v>
      </c>
      <c r="J211" s="31"/>
      <c r="K211" s="31" t="s">
        <v>99</v>
      </c>
      <c r="L211" s="23">
        <f t="shared" si="34"/>
        <v>0</v>
      </c>
      <c r="M211" s="31" t="s">
        <v>100</v>
      </c>
      <c r="N211" s="23">
        <f t="shared" si="35"/>
        <v>0</v>
      </c>
      <c r="O211" s="31">
        <v>0</v>
      </c>
      <c r="P211" s="23">
        <f t="shared" si="36"/>
        <v>0</v>
      </c>
    </row>
    <row r="212" spans="1:16" ht="15" hidden="1" customHeight="1" x14ac:dyDescent="0.25">
      <c r="A212" s="31" t="s">
        <v>113</v>
      </c>
      <c r="B212" s="52">
        <v>0</v>
      </c>
      <c r="C212" s="31"/>
      <c r="D212" s="52" t="s">
        <v>20</v>
      </c>
      <c r="E212" s="31">
        <v>0</v>
      </c>
      <c r="F212" s="52"/>
      <c r="G212" s="31" t="s">
        <v>97</v>
      </c>
      <c r="H212" s="66"/>
      <c r="I212" s="31" t="s">
        <v>21</v>
      </c>
      <c r="J212" s="31"/>
      <c r="K212" s="31" t="s">
        <v>99</v>
      </c>
      <c r="L212" s="23">
        <f t="shared" si="34"/>
        <v>0</v>
      </c>
      <c r="M212" s="31" t="s">
        <v>100</v>
      </c>
      <c r="N212" s="23">
        <f t="shared" si="35"/>
        <v>0</v>
      </c>
      <c r="O212" s="31">
        <v>0</v>
      </c>
      <c r="P212" s="23">
        <f t="shared" si="36"/>
        <v>0</v>
      </c>
    </row>
    <row r="213" spans="1:16" ht="15" hidden="1" customHeight="1" x14ac:dyDescent="0.25">
      <c r="A213" s="31" t="s">
        <v>114</v>
      </c>
      <c r="B213" s="52">
        <v>0</v>
      </c>
      <c r="C213" s="31"/>
      <c r="D213" s="52" t="s">
        <v>20</v>
      </c>
      <c r="E213" s="31">
        <v>0</v>
      </c>
      <c r="F213" s="52"/>
      <c r="G213" s="31" t="s">
        <v>97</v>
      </c>
      <c r="H213" s="66"/>
      <c r="I213" s="31" t="s">
        <v>21</v>
      </c>
      <c r="J213" s="31"/>
      <c r="K213" s="31" t="s">
        <v>99</v>
      </c>
      <c r="L213" s="23">
        <f t="shared" si="34"/>
        <v>0</v>
      </c>
      <c r="M213" s="31" t="s">
        <v>100</v>
      </c>
      <c r="N213" s="23">
        <f t="shared" si="35"/>
        <v>0</v>
      </c>
      <c r="O213" s="31">
        <v>0</v>
      </c>
      <c r="P213" s="23">
        <f t="shared" si="36"/>
        <v>0</v>
      </c>
    </row>
    <row r="214" spans="1:16" ht="15" hidden="1" customHeight="1" x14ac:dyDescent="0.25">
      <c r="A214" s="31" t="s">
        <v>115</v>
      </c>
      <c r="B214" s="52">
        <v>0</v>
      </c>
      <c r="C214" s="31"/>
      <c r="D214" s="52" t="s">
        <v>20</v>
      </c>
      <c r="E214" s="31">
        <v>0</v>
      </c>
      <c r="F214" s="52"/>
      <c r="G214" s="31" t="s">
        <v>97</v>
      </c>
      <c r="H214" s="66"/>
      <c r="I214" s="31" t="s">
        <v>21</v>
      </c>
      <c r="J214" s="31"/>
      <c r="K214" s="31" t="s">
        <v>99</v>
      </c>
      <c r="L214" s="23">
        <f t="shared" si="34"/>
        <v>0</v>
      </c>
      <c r="M214" s="31" t="s">
        <v>100</v>
      </c>
      <c r="N214" s="23">
        <f t="shared" si="35"/>
        <v>0</v>
      </c>
      <c r="O214" s="31">
        <v>0</v>
      </c>
      <c r="P214" s="23">
        <f t="shared" si="36"/>
        <v>0</v>
      </c>
    </row>
    <row r="215" spans="1:16" ht="15" hidden="1" customHeight="1" x14ac:dyDescent="0.25">
      <c r="A215" s="31" t="s">
        <v>116</v>
      </c>
      <c r="B215" s="52">
        <v>0</v>
      </c>
      <c r="C215" s="31"/>
      <c r="D215" s="52" t="s">
        <v>20</v>
      </c>
      <c r="E215" s="31">
        <v>0</v>
      </c>
      <c r="F215" s="52"/>
      <c r="G215" s="31" t="s">
        <v>97</v>
      </c>
      <c r="H215" s="66"/>
      <c r="I215" s="31" t="s">
        <v>21</v>
      </c>
      <c r="J215" s="31"/>
      <c r="K215" s="31" t="s">
        <v>99</v>
      </c>
      <c r="L215" s="23">
        <f t="shared" si="34"/>
        <v>0</v>
      </c>
      <c r="M215" s="31" t="s">
        <v>100</v>
      </c>
      <c r="N215" s="23">
        <f t="shared" si="35"/>
        <v>0</v>
      </c>
      <c r="O215" s="31">
        <v>0</v>
      </c>
      <c r="P215" s="23">
        <f t="shared" si="36"/>
        <v>0</v>
      </c>
    </row>
    <row r="216" spans="1:16" ht="15" hidden="1" customHeight="1" x14ac:dyDescent="0.25">
      <c r="A216" s="31" t="s">
        <v>117</v>
      </c>
      <c r="B216" s="52">
        <v>0</v>
      </c>
      <c r="C216" s="31"/>
      <c r="D216" s="52" t="s">
        <v>20</v>
      </c>
      <c r="E216" s="31">
        <v>0</v>
      </c>
      <c r="F216" s="52"/>
      <c r="G216" s="31" t="s">
        <v>97</v>
      </c>
      <c r="H216" s="66"/>
      <c r="I216" s="31" t="s">
        <v>21</v>
      </c>
      <c r="J216" s="31"/>
      <c r="K216" s="31" t="s">
        <v>99</v>
      </c>
      <c r="L216" s="23">
        <f t="shared" si="34"/>
        <v>0</v>
      </c>
      <c r="M216" s="31" t="s">
        <v>100</v>
      </c>
      <c r="N216" s="23">
        <f t="shared" si="35"/>
        <v>0</v>
      </c>
      <c r="O216" s="31">
        <v>0</v>
      </c>
      <c r="P216" s="23">
        <f t="shared" si="36"/>
        <v>0</v>
      </c>
    </row>
    <row r="217" spans="1:16" ht="15" hidden="1" customHeight="1" x14ac:dyDescent="0.25">
      <c r="A217" s="31" t="s">
        <v>118</v>
      </c>
      <c r="B217" s="52">
        <v>0</v>
      </c>
      <c r="C217" s="31"/>
      <c r="D217" s="52" t="s">
        <v>20</v>
      </c>
      <c r="E217" s="31">
        <v>0</v>
      </c>
      <c r="F217" s="52"/>
      <c r="G217" s="31" t="s">
        <v>97</v>
      </c>
      <c r="H217" s="66"/>
      <c r="I217" s="31" t="s">
        <v>21</v>
      </c>
      <c r="J217" s="31"/>
      <c r="K217" s="31" t="s">
        <v>99</v>
      </c>
      <c r="L217" s="23">
        <f t="shared" si="34"/>
        <v>0</v>
      </c>
      <c r="M217" s="31" t="s">
        <v>100</v>
      </c>
      <c r="N217" s="23">
        <f t="shared" si="35"/>
        <v>0</v>
      </c>
      <c r="O217" s="31">
        <v>0</v>
      </c>
      <c r="P217" s="23">
        <f t="shared" si="36"/>
        <v>0</v>
      </c>
    </row>
    <row r="218" spans="1:16" ht="15" hidden="1" customHeight="1" x14ac:dyDescent="0.25">
      <c r="A218" s="31" t="s">
        <v>119</v>
      </c>
      <c r="B218" s="52">
        <v>0</v>
      </c>
      <c r="C218" s="31"/>
      <c r="D218" s="52" t="s">
        <v>20</v>
      </c>
      <c r="E218" s="31">
        <v>0</v>
      </c>
      <c r="F218" s="52"/>
      <c r="G218" s="31" t="s">
        <v>97</v>
      </c>
      <c r="H218" s="66"/>
      <c r="I218" s="31" t="s">
        <v>21</v>
      </c>
      <c r="J218" s="31"/>
      <c r="K218" s="31" t="s">
        <v>99</v>
      </c>
      <c r="L218" s="23">
        <f t="shared" si="34"/>
        <v>0</v>
      </c>
      <c r="M218" s="31" t="s">
        <v>100</v>
      </c>
      <c r="N218" s="23">
        <f t="shared" si="35"/>
        <v>0</v>
      </c>
      <c r="O218" s="31">
        <v>0</v>
      </c>
      <c r="P218" s="23">
        <f t="shared" si="36"/>
        <v>0</v>
      </c>
    </row>
    <row r="219" spans="1:16" ht="15" hidden="1" customHeight="1" x14ac:dyDescent="0.25">
      <c r="A219" s="31" t="s">
        <v>120</v>
      </c>
      <c r="B219" s="52">
        <v>0</v>
      </c>
      <c r="C219" s="31"/>
      <c r="D219" s="52" t="s">
        <v>20</v>
      </c>
      <c r="E219" s="31">
        <v>0</v>
      </c>
      <c r="F219" s="52"/>
      <c r="G219" s="31" t="s">
        <v>97</v>
      </c>
      <c r="H219" s="66"/>
      <c r="I219" s="31" t="s">
        <v>21</v>
      </c>
      <c r="J219" s="31"/>
      <c r="K219" s="31" t="s">
        <v>99</v>
      </c>
      <c r="L219" s="23">
        <f t="shared" si="34"/>
        <v>0</v>
      </c>
      <c r="M219" s="31" t="s">
        <v>100</v>
      </c>
      <c r="N219" s="23">
        <f t="shared" si="35"/>
        <v>0</v>
      </c>
      <c r="O219" s="31">
        <v>0</v>
      </c>
      <c r="P219" s="23">
        <f t="shared" si="36"/>
        <v>0</v>
      </c>
    </row>
    <row r="220" spans="1:16" ht="15" hidden="1" customHeight="1" x14ac:dyDescent="0.25">
      <c r="A220" s="31" t="s">
        <v>121</v>
      </c>
      <c r="B220" s="52">
        <v>0</v>
      </c>
      <c r="C220" s="31"/>
      <c r="D220" s="52" t="s">
        <v>20</v>
      </c>
      <c r="E220" s="31">
        <v>0</v>
      </c>
      <c r="F220" s="52"/>
      <c r="G220" s="31" t="s">
        <v>97</v>
      </c>
      <c r="H220" s="66"/>
      <c r="I220" s="31" t="s">
        <v>21</v>
      </c>
      <c r="J220" s="31"/>
      <c r="K220" s="31" t="s">
        <v>99</v>
      </c>
      <c r="L220" s="23">
        <f t="shared" si="34"/>
        <v>0</v>
      </c>
      <c r="M220" s="31" t="s">
        <v>100</v>
      </c>
      <c r="N220" s="23">
        <f t="shared" si="35"/>
        <v>0</v>
      </c>
      <c r="O220" s="31">
        <v>0</v>
      </c>
      <c r="P220" s="23">
        <f t="shared" si="36"/>
        <v>0</v>
      </c>
    </row>
    <row r="221" spans="1:16" ht="15" hidden="1" customHeight="1" x14ac:dyDescent="0.25">
      <c r="A221" s="31" t="s">
        <v>122</v>
      </c>
      <c r="B221" s="52">
        <v>0</v>
      </c>
      <c r="C221" s="31"/>
      <c r="D221" s="52" t="s">
        <v>20</v>
      </c>
      <c r="E221" s="31">
        <v>0</v>
      </c>
      <c r="F221" s="52"/>
      <c r="G221" s="31" t="s">
        <v>97</v>
      </c>
      <c r="H221" s="66"/>
      <c r="I221" s="31" t="s">
        <v>21</v>
      </c>
      <c r="J221" s="31"/>
      <c r="K221" s="31" t="s">
        <v>99</v>
      </c>
      <c r="L221" s="23">
        <f t="shared" si="34"/>
        <v>0</v>
      </c>
      <c r="M221" s="31" t="s">
        <v>100</v>
      </c>
      <c r="N221" s="23">
        <f t="shared" si="35"/>
        <v>0</v>
      </c>
      <c r="O221" s="31">
        <v>0</v>
      </c>
      <c r="P221" s="23">
        <f t="shared" si="36"/>
        <v>0</v>
      </c>
    </row>
    <row r="222" spans="1:16" ht="15" hidden="1" customHeight="1" x14ac:dyDescent="0.25">
      <c r="A222" s="31" t="s">
        <v>123</v>
      </c>
      <c r="B222" s="52">
        <v>0</v>
      </c>
      <c r="C222" s="31"/>
      <c r="D222" s="52" t="s">
        <v>20</v>
      </c>
      <c r="E222" s="31">
        <v>0</v>
      </c>
      <c r="F222" s="52"/>
      <c r="G222" s="31" t="s">
        <v>97</v>
      </c>
      <c r="H222" s="66"/>
      <c r="I222" s="31" t="s">
        <v>21</v>
      </c>
      <c r="J222" s="31"/>
      <c r="K222" s="31" t="s">
        <v>99</v>
      </c>
      <c r="L222" s="23">
        <f t="shared" si="34"/>
        <v>0</v>
      </c>
      <c r="M222" s="31" t="s">
        <v>100</v>
      </c>
      <c r="N222" s="23">
        <f t="shared" si="35"/>
        <v>0</v>
      </c>
      <c r="O222" s="31">
        <v>0</v>
      </c>
      <c r="P222" s="23">
        <f t="shared" si="36"/>
        <v>0</v>
      </c>
    </row>
    <row r="223" spans="1:16" ht="15" hidden="1" customHeight="1" x14ac:dyDescent="0.25">
      <c r="A223" s="31" t="s">
        <v>124</v>
      </c>
      <c r="B223" s="52">
        <v>0</v>
      </c>
      <c r="C223" s="31"/>
      <c r="D223" s="52" t="s">
        <v>20</v>
      </c>
      <c r="E223" s="31">
        <v>0</v>
      </c>
      <c r="F223" s="52"/>
      <c r="G223" s="31" t="s">
        <v>97</v>
      </c>
      <c r="H223" s="66"/>
      <c r="I223" s="31" t="s">
        <v>21</v>
      </c>
      <c r="J223" s="31"/>
      <c r="K223" s="31" t="s">
        <v>99</v>
      </c>
      <c r="L223" s="23">
        <f t="shared" si="34"/>
        <v>0</v>
      </c>
      <c r="M223" s="31" t="s">
        <v>100</v>
      </c>
      <c r="N223" s="23">
        <f t="shared" si="35"/>
        <v>0</v>
      </c>
      <c r="O223" s="31">
        <v>0</v>
      </c>
      <c r="P223" s="23">
        <f t="shared" si="36"/>
        <v>0</v>
      </c>
    </row>
    <row r="224" spans="1:16" ht="15" hidden="1" customHeight="1" x14ac:dyDescent="0.25">
      <c r="A224" s="31" t="s">
        <v>125</v>
      </c>
      <c r="B224" s="52">
        <v>0</v>
      </c>
      <c r="C224" s="31"/>
      <c r="D224" s="52" t="s">
        <v>20</v>
      </c>
      <c r="E224" s="31">
        <v>0</v>
      </c>
      <c r="F224" s="52"/>
      <c r="G224" s="31" t="s">
        <v>97</v>
      </c>
      <c r="H224" s="66"/>
      <c r="I224" s="31" t="s">
        <v>21</v>
      </c>
      <c r="J224" s="31"/>
      <c r="K224" s="31" t="s">
        <v>99</v>
      </c>
      <c r="L224" s="23">
        <f t="shared" si="34"/>
        <v>0</v>
      </c>
      <c r="M224" s="31" t="s">
        <v>100</v>
      </c>
      <c r="N224" s="23">
        <f t="shared" si="35"/>
        <v>0</v>
      </c>
      <c r="O224" s="31">
        <v>0</v>
      </c>
      <c r="P224" s="23">
        <f t="shared" si="36"/>
        <v>0</v>
      </c>
    </row>
    <row r="225" spans="1:16" ht="15" hidden="1" customHeight="1" x14ac:dyDescent="0.25">
      <c r="A225" s="31" t="s">
        <v>126</v>
      </c>
      <c r="B225" s="52">
        <v>0</v>
      </c>
      <c r="C225" s="31"/>
      <c r="D225" s="52" t="s">
        <v>20</v>
      </c>
      <c r="E225" s="31">
        <v>0</v>
      </c>
      <c r="F225" s="52"/>
      <c r="G225" s="31" t="s">
        <v>97</v>
      </c>
      <c r="H225" s="66"/>
      <c r="I225" s="31" t="s">
        <v>21</v>
      </c>
      <c r="J225" s="31">
        <v>0</v>
      </c>
      <c r="K225" s="31" t="s">
        <v>99</v>
      </c>
      <c r="L225" s="23">
        <f t="shared" si="34"/>
        <v>0</v>
      </c>
      <c r="M225" s="31" t="s">
        <v>100</v>
      </c>
      <c r="N225" s="23">
        <f t="shared" si="35"/>
        <v>0</v>
      </c>
      <c r="O225" s="31">
        <v>0</v>
      </c>
      <c r="P225" s="23">
        <f t="shared" si="36"/>
        <v>0</v>
      </c>
    </row>
    <row r="226" spans="1:16" ht="15" hidden="1" customHeight="1" x14ac:dyDescent="0.25">
      <c r="A226" s="31" t="s">
        <v>127</v>
      </c>
      <c r="B226" s="52">
        <v>0</v>
      </c>
      <c r="C226" s="31"/>
      <c r="D226" s="52" t="s">
        <v>20</v>
      </c>
      <c r="E226" s="31">
        <v>0</v>
      </c>
      <c r="F226" s="52"/>
      <c r="G226" s="31" t="s">
        <v>97</v>
      </c>
      <c r="H226" s="66"/>
      <c r="I226" s="31" t="s">
        <v>128</v>
      </c>
      <c r="J226" s="31">
        <v>0</v>
      </c>
      <c r="K226" s="31" t="s">
        <v>99</v>
      </c>
      <c r="L226" s="23">
        <v>38.9</v>
      </c>
      <c r="M226" s="31" t="s">
        <v>100</v>
      </c>
      <c r="N226" s="23">
        <f t="shared" si="35"/>
        <v>0</v>
      </c>
      <c r="O226" s="31">
        <v>0</v>
      </c>
      <c r="P226" s="23">
        <f t="shared" si="36"/>
        <v>0</v>
      </c>
    </row>
    <row r="227" spans="1:16" ht="15" hidden="1" customHeight="1" x14ac:dyDescent="0.25">
      <c r="A227" s="31" t="s">
        <v>129</v>
      </c>
      <c r="B227" s="52">
        <v>0</v>
      </c>
      <c r="C227" s="31"/>
      <c r="D227" s="52" t="s">
        <v>20</v>
      </c>
      <c r="E227" s="31">
        <v>0</v>
      </c>
      <c r="F227" s="52"/>
      <c r="G227" s="31" t="s">
        <v>97</v>
      </c>
      <c r="H227" s="66"/>
      <c r="I227" s="31" t="s">
        <v>21</v>
      </c>
      <c r="J227" s="31">
        <v>0</v>
      </c>
      <c r="K227" s="31" t="s">
        <v>99</v>
      </c>
      <c r="L227" s="23">
        <v>25.07</v>
      </c>
      <c r="M227" s="31" t="s">
        <v>100</v>
      </c>
      <c r="N227" s="23">
        <f t="shared" si="35"/>
        <v>0</v>
      </c>
      <c r="O227" s="31">
        <v>0</v>
      </c>
      <c r="P227" s="23">
        <f t="shared" si="36"/>
        <v>0</v>
      </c>
    </row>
    <row r="228" spans="1:16" ht="15" customHeight="1" x14ac:dyDescent="0.25">
      <c r="A228" s="31"/>
      <c r="B228" s="52"/>
      <c r="C228" s="31"/>
      <c r="D228" s="52"/>
      <c r="E228" s="31"/>
      <c r="F228" s="52"/>
      <c r="G228" s="31"/>
      <c r="H228" s="66"/>
      <c r="I228" s="31"/>
      <c r="J228" s="31"/>
      <c r="K228" s="31"/>
      <c r="L228" s="23"/>
      <c r="M228" s="31"/>
      <c r="N228" s="23"/>
      <c r="O228" s="31"/>
      <c r="P228" s="23"/>
    </row>
    <row r="229" spans="1:16" ht="15" customHeight="1" x14ac:dyDescent="0.25">
      <c r="A229" s="80" t="s">
        <v>130</v>
      </c>
      <c r="B229" s="51"/>
      <c r="C229" s="80"/>
      <c r="D229" s="51"/>
      <c r="E229" s="80"/>
      <c r="F229" s="51"/>
      <c r="G229" s="80"/>
      <c r="H229" s="51"/>
      <c r="I229" s="80"/>
      <c r="J229" s="80"/>
      <c r="K229" s="80"/>
      <c r="L229" s="80"/>
      <c r="M229" s="80"/>
      <c r="N229" s="30">
        <f>SUM(N4:N227)</f>
        <v>1845.0101781304609</v>
      </c>
      <c r="O229" s="31"/>
      <c r="P229" s="30">
        <f>SUM(P4:P227)</f>
        <v>1878.5770921304609</v>
      </c>
    </row>
    <row r="231" spans="1:16" ht="15" customHeight="1" x14ac:dyDescent="0.25">
      <c r="A231" s="42" t="s">
        <v>131</v>
      </c>
      <c r="B231" s="55"/>
      <c r="C231" s="43"/>
      <c r="D231" s="55"/>
      <c r="E231" s="43"/>
      <c r="F231" s="55"/>
      <c r="G231" s="43"/>
      <c r="H231" s="55"/>
      <c r="I231" s="43"/>
      <c r="J231" s="43"/>
      <c r="K231" s="43"/>
      <c r="L231" s="43"/>
      <c r="M231" s="44"/>
    </row>
    <row r="232" spans="1:16" ht="15" customHeight="1" x14ac:dyDescent="0.25">
      <c r="A232" s="33" t="s">
        <v>132</v>
      </c>
      <c r="B232" s="56"/>
      <c r="C232" s="34"/>
      <c r="D232" s="61">
        <f>SUM(P4:P142)</f>
        <v>1760.0219669999999</v>
      </c>
      <c r="E232" s="37"/>
      <c r="F232" s="61"/>
      <c r="G232" s="37"/>
      <c r="H232" s="61"/>
      <c r="I232" s="37"/>
      <c r="J232" s="37"/>
      <c r="K232" s="37"/>
      <c r="L232" s="37"/>
      <c r="M232" s="37"/>
    </row>
    <row r="233" spans="1:16" ht="15" customHeight="1" x14ac:dyDescent="0.25">
      <c r="A233" s="33" t="s">
        <v>133</v>
      </c>
      <c r="B233" s="56"/>
      <c r="C233" s="34"/>
      <c r="D233" s="61">
        <f>SUM(P175:P198)</f>
        <v>67.122906380461089</v>
      </c>
      <c r="E233" s="37"/>
      <c r="F233" s="61"/>
      <c r="G233" s="37"/>
      <c r="H233" s="61"/>
      <c r="I233" s="37"/>
      <c r="J233" s="37"/>
      <c r="K233" s="37"/>
      <c r="L233" s="37"/>
      <c r="M233" s="37"/>
    </row>
    <row r="234" spans="1:16" ht="15" customHeight="1" x14ac:dyDescent="0.25">
      <c r="A234" s="33" t="s">
        <v>134</v>
      </c>
      <c r="B234" s="56"/>
      <c r="C234" s="34"/>
      <c r="D234" s="61">
        <f>SUM(P146:P174)</f>
        <v>0</v>
      </c>
      <c r="E234" s="37"/>
      <c r="F234" s="61"/>
      <c r="G234" s="37"/>
      <c r="H234" s="61"/>
      <c r="I234" s="37"/>
      <c r="J234" s="37"/>
      <c r="K234" s="37"/>
      <c r="L234" s="37"/>
      <c r="M234" s="37"/>
    </row>
    <row r="235" spans="1:16" ht="15" customHeight="1" x14ac:dyDescent="0.25">
      <c r="A235" s="33" t="s">
        <v>135</v>
      </c>
      <c r="B235" s="56"/>
      <c r="C235" s="34"/>
      <c r="D235" s="61">
        <f>SUM(P199:P225)</f>
        <v>51.43221874999999</v>
      </c>
      <c r="E235" s="37"/>
      <c r="F235" s="61"/>
      <c r="G235" s="37"/>
      <c r="H235" s="61"/>
      <c r="I235" s="37"/>
      <c r="J235" s="37"/>
      <c r="K235" s="37"/>
      <c r="L235" s="37"/>
      <c r="M235" s="37"/>
    </row>
    <row r="236" spans="1:16" ht="15" customHeight="1" x14ac:dyDescent="0.25">
      <c r="A236" s="33" t="s">
        <v>136</v>
      </c>
      <c r="B236" s="56"/>
      <c r="C236" s="34"/>
      <c r="D236" s="62">
        <f>SUM(P143:P145)</f>
        <v>0</v>
      </c>
      <c r="E236" s="40"/>
      <c r="F236" s="65"/>
      <c r="G236" s="40"/>
      <c r="H236" s="65"/>
      <c r="I236" s="40"/>
      <c r="J236" s="40"/>
      <c r="K236" s="40"/>
      <c r="L236" s="40"/>
      <c r="M236" s="41"/>
    </row>
    <row r="237" spans="1:16" ht="15" customHeight="1" x14ac:dyDescent="0.25">
      <c r="A237" s="33" t="s">
        <v>137</v>
      </c>
      <c r="B237" s="56"/>
      <c r="C237" s="34"/>
      <c r="D237" s="62">
        <f>SUM(P226:P227)</f>
        <v>0</v>
      </c>
      <c r="E237" s="40"/>
      <c r="F237" s="65"/>
      <c r="G237" s="40"/>
      <c r="H237" s="65"/>
      <c r="I237" s="40"/>
      <c r="J237" s="40"/>
      <c r="K237" s="40"/>
      <c r="L237" s="40"/>
      <c r="M237" s="41"/>
    </row>
    <row r="238" spans="1:16" ht="15" customHeight="1" x14ac:dyDescent="0.25">
      <c r="A238" s="1" t="s">
        <v>138</v>
      </c>
      <c r="B238" s="57">
        <v>0.05</v>
      </c>
      <c r="C238" s="1"/>
      <c r="D238" s="63">
        <f>(D232+D233+D234+D235+D236+D237)*B238</f>
        <v>93.928854606523046</v>
      </c>
      <c r="E238" s="38"/>
      <c r="F238" s="63"/>
      <c r="G238" s="38"/>
      <c r="H238" s="63"/>
      <c r="I238" s="38"/>
      <c r="J238" s="38"/>
      <c r="K238" s="38"/>
      <c r="L238" s="38"/>
      <c r="M238" s="38"/>
    </row>
    <row r="239" spans="1:16" ht="15" customHeight="1" x14ac:dyDescent="0.25">
      <c r="A239" s="35" t="s">
        <v>139</v>
      </c>
      <c r="B239" s="58"/>
      <c r="C239" s="36"/>
      <c r="D239" s="64">
        <f>D232+D233+D234+D235+D236+D237+D238</f>
        <v>1972.505946736984</v>
      </c>
      <c r="E239" s="39"/>
      <c r="F239" s="64"/>
      <c r="G239" s="39"/>
      <c r="H239" s="64"/>
      <c r="I239" s="39"/>
      <c r="J239" s="39"/>
      <c r="K239" s="39"/>
      <c r="L239" s="39"/>
      <c r="M239" s="39"/>
    </row>
    <row r="245" spans="1:1" ht="15" customHeight="1" x14ac:dyDescent="0.25">
      <c r="A245" s="8" t="s">
        <v>140</v>
      </c>
    </row>
  </sheetData>
  <pageMargins left="0.511811024" right="0.511811024" top="0.78740157499999996" bottom="0.78740157499999996" header="0.31496062000000002" footer="0.31496062000000002"/>
  <pageSetup paperSize="9" scale="6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workbookViewId="0">
      <selection activeCell="B5" sqref="B5"/>
    </sheetView>
  </sheetViews>
  <sheetFormatPr defaultRowHeight="15" x14ac:dyDescent="0.25"/>
  <cols>
    <col min="1" max="1" width="22.5703125" style="79" customWidth="1"/>
    <col min="2" max="2" width="15.42578125" style="79" customWidth="1"/>
    <col min="3" max="4" width="10.42578125" style="79" customWidth="1"/>
    <col min="5" max="5" width="14.7109375" style="79" customWidth="1"/>
    <col min="6" max="6" width="11" style="79" customWidth="1"/>
    <col min="7" max="7" width="12.42578125" style="79" customWidth="1"/>
    <col min="8" max="8" width="19.7109375" style="79" customWidth="1"/>
    <col min="9" max="9" width="18.5703125" style="79" customWidth="1"/>
    <col min="10" max="10" width="17.7109375" style="79" customWidth="1"/>
    <col min="11" max="11" width="14.85546875" style="79" customWidth="1"/>
  </cols>
  <sheetData>
    <row r="1" spans="1:11" x14ac:dyDescent="0.25">
      <c r="A1" s="84" t="s">
        <v>141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2" spans="1:11" x14ac:dyDescent="0.25">
      <c r="A2" s="80" t="s">
        <v>142</v>
      </c>
      <c r="B2" s="19" t="s">
        <v>143</v>
      </c>
      <c r="C2" s="18" t="s">
        <v>144</v>
      </c>
      <c r="D2" s="18" t="s">
        <v>145</v>
      </c>
      <c r="E2" s="18" t="s">
        <v>146</v>
      </c>
      <c r="F2" s="18" t="s">
        <v>147</v>
      </c>
      <c r="G2" s="18" t="s">
        <v>148</v>
      </c>
      <c r="H2" s="18" t="s">
        <v>149</v>
      </c>
      <c r="I2" s="18" t="s">
        <v>150</v>
      </c>
      <c r="J2" s="18" t="s">
        <v>151</v>
      </c>
      <c r="K2" s="18" t="s">
        <v>152</v>
      </c>
    </row>
    <row r="3" spans="1:11" x14ac:dyDescent="0.25">
      <c r="A3" s="22" t="s">
        <v>153</v>
      </c>
      <c r="B3" s="22">
        <v>0</v>
      </c>
      <c r="C3" s="22" t="s">
        <v>154</v>
      </c>
      <c r="D3" s="22" t="s">
        <v>155</v>
      </c>
      <c r="E3" s="22">
        <v>0</v>
      </c>
      <c r="F3" s="22" t="s">
        <v>156</v>
      </c>
      <c r="G3" s="22" t="s">
        <v>155</v>
      </c>
      <c r="H3" s="22" t="s">
        <v>157</v>
      </c>
      <c r="I3" s="22" t="s">
        <v>155</v>
      </c>
      <c r="J3" s="22" t="s">
        <v>158</v>
      </c>
      <c r="K3" s="22" t="s">
        <v>159</v>
      </c>
    </row>
    <row r="4" spans="1:11" x14ac:dyDescent="0.25">
      <c r="A4" s="22" t="s">
        <v>160</v>
      </c>
      <c r="B4" s="22">
        <v>0</v>
      </c>
      <c r="C4" s="22" t="s">
        <v>154</v>
      </c>
      <c r="D4" s="22" t="s">
        <v>155</v>
      </c>
      <c r="E4" s="22">
        <v>0</v>
      </c>
      <c r="F4" s="22" t="s">
        <v>156</v>
      </c>
      <c r="G4" s="22" t="s">
        <v>155</v>
      </c>
      <c r="H4" s="22" t="s">
        <v>157</v>
      </c>
      <c r="I4" s="22" t="s">
        <v>155</v>
      </c>
      <c r="J4" s="22" t="s">
        <v>158</v>
      </c>
      <c r="K4" s="22" t="s">
        <v>161</v>
      </c>
    </row>
    <row r="5" spans="1:11" x14ac:dyDescent="0.25">
      <c r="A5" s="22" t="s">
        <v>162</v>
      </c>
      <c r="B5" s="22">
        <v>0</v>
      </c>
      <c r="C5" s="22" t="s">
        <v>154</v>
      </c>
      <c r="D5" s="22" t="s">
        <v>155</v>
      </c>
      <c r="E5" s="22">
        <v>0</v>
      </c>
      <c r="F5" s="22" t="s">
        <v>156</v>
      </c>
      <c r="G5" s="22" t="s">
        <v>155</v>
      </c>
      <c r="H5" s="22" t="s">
        <v>157</v>
      </c>
      <c r="I5" s="22" t="s">
        <v>155</v>
      </c>
      <c r="J5" s="22" t="s">
        <v>158</v>
      </c>
      <c r="K5" s="22" t="s">
        <v>163</v>
      </c>
    </row>
    <row r="6" spans="1:11" x14ac:dyDescent="0.25">
      <c r="A6" s="22" t="s">
        <v>164</v>
      </c>
      <c r="B6" s="22">
        <v>4</v>
      </c>
      <c r="C6" s="22" t="s">
        <v>154</v>
      </c>
      <c r="D6" s="22" t="s">
        <v>155</v>
      </c>
      <c r="E6" s="22">
        <v>0</v>
      </c>
      <c r="F6" s="22" t="s">
        <v>156</v>
      </c>
      <c r="G6" s="22" t="s">
        <v>155</v>
      </c>
      <c r="H6" s="22" t="s">
        <v>157</v>
      </c>
      <c r="I6" s="22" t="s">
        <v>155</v>
      </c>
      <c r="J6" s="22" t="s">
        <v>158</v>
      </c>
      <c r="K6" s="22" t="s">
        <v>165</v>
      </c>
    </row>
    <row r="7" spans="1:11" x14ac:dyDescent="0.25">
      <c r="A7" s="22" t="s">
        <v>166</v>
      </c>
      <c r="B7" s="22">
        <v>4</v>
      </c>
      <c r="C7" s="22" t="s">
        <v>154</v>
      </c>
      <c r="D7" s="22" t="s">
        <v>155</v>
      </c>
      <c r="E7" s="22">
        <v>0</v>
      </c>
      <c r="F7" s="22" t="s">
        <v>156</v>
      </c>
      <c r="G7" s="22" t="s">
        <v>155</v>
      </c>
      <c r="H7" s="22" t="s">
        <v>157</v>
      </c>
      <c r="I7" s="22" t="s">
        <v>155</v>
      </c>
      <c r="J7" s="22" t="s">
        <v>158</v>
      </c>
      <c r="K7" s="22" t="s">
        <v>167</v>
      </c>
    </row>
    <row r="8" spans="1:11" x14ac:dyDescent="0.25">
      <c r="A8" s="22" t="s">
        <v>168</v>
      </c>
      <c r="B8" s="22">
        <v>4</v>
      </c>
      <c r="C8" s="22" t="s">
        <v>154</v>
      </c>
      <c r="D8" s="22" t="s">
        <v>155</v>
      </c>
      <c r="E8" s="22">
        <v>0</v>
      </c>
      <c r="F8" s="22" t="s">
        <v>156</v>
      </c>
      <c r="G8" s="22" t="s">
        <v>155</v>
      </c>
      <c r="H8" s="22" t="s">
        <v>157</v>
      </c>
      <c r="I8" s="22" t="s">
        <v>155</v>
      </c>
      <c r="J8" s="22" t="s">
        <v>158</v>
      </c>
      <c r="K8" s="22" t="s">
        <v>169</v>
      </c>
    </row>
    <row r="9" spans="1:11" x14ac:dyDescent="0.25">
      <c r="A9" s="22" t="s">
        <v>170</v>
      </c>
      <c r="B9" s="22">
        <v>4</v>
      </c>
      <c r="C9" s="22" t="s">
        <v>154</v>
      </c>
      <c r="D9" s="22" t="s">
        <v>155</v>
      </c>
      <c r="E9" s="22">
        <v>0</v>
      </c>
      <c r="F9" s="22" t="s">
        <v>156</v>
      </c>
      <c r="G9" s="22" t="s">
        <v>155</v>
      </c>
      <c r="H9" s="22" t="s">
        <v>157</v>
      </c>
      <c r="I9" s="22" t="s">
        <v>155</v>
      </c>
      <c r="J9" s="22" t="s">
        <v>158</v>
      </c>
      <c r="K9" s="22" t="s">
        <v>171</v>
      </c>
    </row>
    <row r="10" spans="1:11" x14ac:dyDescent="0.25">
      <c r="A10" s="22" t="s">
        <v>172</v>
      </c>
      <c r="B10" s="22">
        <v>4</v>
      </c>
      <c r="C10" s="22" t="s">
        <v>154</v>
      </c>
      <c r="D10" s="22" t="s">
        <v>155</v>
      </c>
      <c r="E10" s="22">
        <v>0</v>
      </c>
      <c r="F10" s="22" t="s">
        <v>156</v>
      </c>
      <c r="G10" s="22" t="s">
        <v>155</v>
      </c>
      <c r="H10" s="22" t="s">
        <v>157</v>
      </c>
      <c r="I10" s="22" t="s">
        <v>155</v>
      </c>
      <c r="J10" s="22" t="s">
        <v>158</v>
      </c>
      <c r="K10" s="22" t="s">
        <v>173</v>
      </c>
    </row>
    <row r="11" spans="1:11" x14ac:dyDescent="0.25">
      <c r="A11" s="22" t="s">
        <v>174</v>
      </c>
      <c r="B11" s="22">
        <v>4</v>
      </c>
      <c r="C11" s="22" t="s">
        <v>154</v>
      </c>
      <c r="D11" s="22" t="s">
        <v>155</v>
      </c>
      <c r="E11" s="22">
        <v>0</v>
      </c>
      <c r="F11" s="22" t="s">
        <v>156</v>
      </c>
      <c r="G11" s="22" t="s">
        <v>155</v>
      </c>
      <c r="H11" s="22" t="s">
        <v>157</v>
      </c>
      <c r="I11" s="22" t="s">
        <v>155</v>
      </c>
      <c r="J11" s="22" t="s">
        <v>158</v>
      </c>
      <c r="K11" s="22" t="s">
        <v>175</v>
      </c>
    </row>
    <row r="12" spans="1:11" x14ac:dyDescent="0.25">
      <c r="A12" s="22" t="s">
        <v>176</v>
      </c>
      <c r="B12" s="22">
        <v>4</v>
      </c>
      <c r="C12" s="22" t="s">
        <v>154</v>
      </c>
      <c r="D12" s="22" t="s">
        <v>155</v>
      </c>
      <c r="E12" s="22">
        <v>0</v>
      </c>
      <c r="F12" s="22" t="s">
        <v>156</v>
      </c>
      <c r="G12" s="22" t="s">
        <v>155</v>
      </c>
      <c r="H12" s="22" t="s">
        <v>157</v>
      </c>
      <c r="I12" s="22" t="s">
        <v>155</v>
      </c>
      <c r="J12" s="22" t="s">
        <v>158</v>
      </c>
      <c r="K12" s="22" t="s">
        <v>177</v>
      </c>
    </row>
    <row r="13" spans="1:11" x14ac:dyDescent="0.25">
      <c r="A13" s="22" t="s">
        <v>178</v>
      </c>
      <c r="B13" s="22">
        <v>4</v>
      </c>
      <c r="C13" s="22" t="s">
        <v>154</v>
      </c>
      <c r="D13" s="22" t="s">
        <v>155</v>
      </c>
      <c r="E13" s="22">
        <v>0</v>
      </c>
      <c r="F13" s="22" t="s">
        <v>156</v>
      </c>
      <c r="G13" s="22" t="s">
        <v>155</v>
      </c>
      <c r="H13" s="22" t="s">
        <v>157</v>
      </c>
      <c r="I13" s="22" t="s">
        <v>155</v>
      </c>
      <c r="J13" s="22" t="s">
        <v>158</v>
      </c>
      <c r="K13" s="22" t="s">
        <v>179</v>
      </c>
    </row>
    <row r="14" spans="1:11" x14ac:dyDescent="0.25">
      <c r="A14" s="22" t="s">
        <v>180</v>
      </c>
      <c r="B14" s="22">
        <v>94</v>
      </c>
      <c r="C14" s="22" t="s">
        <v>181</v>
      </c>
      <c r="D14" s="22" t="s">
        <v>157</v>
      </c>
      <c r="E14" s="22">
        <v>30</v>
      </c>
      <c r="F14" s="22" t="s">
        <v>156</v>
      </c>
      <c r="G14" s="22" t="s">
        <v>156</v>
      </c>
      <c r="H14" s="22" t="s">
        <v>157</v>
      </c>
      <c r="I14" s="22" t="s">
        <v>157</v>
      </c>
      <c r="J14" s="22" t="s">
        <v>158</v>
      </c>
      <c r="K14" s="22" t="s">
        <v>182</v>
      </c>
    </row>
    <row r="15" spans="1:11" x14ac:dyDescent="0.25">
      <c r="A15" s="22" t="s">
        <v>183</v>
      </c>
      <c r="B15" s="22">
        <v>47</v>
      </c>
      <c r="C15" s="22" t="s">
        <v>181</v>
      </c>
      <c r="D15" s="22" t="s">
        <v>155</v>
      </c>
      <c r="E15" s="22" t="s">
        <v>155</v>
      </c>
      <c r="F15" s="22" t="s">
        <v>184</v>
      </c>
      <c r="G15" s="22" t="s">
        <v>155</v>
      </c>
      <c r="H15" s="22" t="s">
        <v>157</v>
      </c>
      <c r="I15" s="22" t="s">
        <v>155</v>
      </c>
      <c r="J15" s="22" t="s">
        <v>158</v>
      </c>
      <c r="K15" s="22" t="s">
        <v>185</v>
      </c>
    </row>
    <row r="16" spans="1:11" x14ac:dyDescent="0.25">
      <c r="A16" s="9" t="s">
        <v>186</v>
      </c>
      <c r="B16" s="22">
        <v>38</v>
      </c>
      <c r="C16" s="22" t="s">
        <v>181</v>
      </c>
      <c r="D16" s="22" t="s">
        <v>155</v>
      </c>
      <c r="E16" s="22" t="s">
        <v>155</v>
      </c>
      <c r="F16" s="22" t="s">
        <v>187</v>
      </c>
      <c r="G16" s="22" t="s">
        <v>155</v>
      </c>
      <c r="H16" s="22" t="s">
        <v>155</v>
      </c>
      <c r="I16" s="22" t="s">
        <v>155</v>
      </c>
      <c r="J16" s="22" t="s">
        <v>188</v>
      </c>
      <c r="K16" s="22" t="s">
        <v>189</v>
      </c>
    </row>
    <row r="17" spans="1:11" x14ac:dyDescent="0.25">
      <c r="A17" s="87"/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x14ac:dyDescent="0.25">
      <c r="A19" s="84" t="s">
        <v>190</v>
      </c>
      <c r="B19" s="85"/>
      <c r="C19" s="85"/>
      <c r="D19" s="85"/>
      <c r="E19" s="85"/>
      <c r="F19" s="85"/>
      <c r="G19" s="85"/>
      <c r="H19" s="86"/>
    </row>
    <row r="20" spans="1:11" x14ac:dyDescent="0.25">
      <c r="A20" s="80" t="s">
        <v>142</v>
      </c>
      <c r="B20" s="19" t="s">
        <v>143</v>
      </c>
      <c r="C20" s="18" t="s">
        <v>191</v>
      </c>
      <c r="D20" s="21" t="s">
        <v>192</v>
      </c>
      <c r="E20" s="18" t="s">
        <v>193</v>
      </c>
      <c r="F20" s="18" t="s">
        <v>194</v>
      </c>
      <c r="G20" s="18" t="s">
        <v>195</v>
      </c>
      <c r="H20" s="18" t="s">
        <v>196</v>
      </c>
    </row>
    <row r="21" spans="1:11" x14ac:dyDescent="0.25">
      <c r="A21" s="22" t="s">
        <v>197</v>
      </c>
      <c r="B21" s="22">
        <v>2</v>
      </c>
      <c r="C21" s="9" t="s">
        <v>157</v>
      </c>
      <c r="D21" s="9" t="s">
        <v>198</v>
      </c>
      <c r="E21" s="22">
        <v>0.65</v>
      </c>
      <c r="F21" s="9" t="s">
        <v>199</v>
      </c>
      <c r="G21" s="22">
        <v>900</v>
      </c>
      <c r="H21" s="22">
        <v>46100</v>
      </c>
    </row>
    <row r="22" spans="1:11" x14ac:dyDescent="0.25">
      <c r="A22" s="22" t="s">
        <v>200</v>
      </c>
      <c r="B22" s="22">
        <v>2</v>
      </c>
      <c r="C22" s="9" t="s">
        <v>157</v>
      </c>
      <c r="D22" s="9" t="s">
        <v>198</v>
      </c>
      <c r="E22" s="16">
        <v>0.5</v>
      </c>
      <c r="F22" s="9" t="s">
        <v>199</v>
      </c>
      <c r="G22" s="22">
        <v>390</v>
      </c>
      <c r="H22" s="22">
        <v>46100</v>
      </c>
    </row>
    <row r="23" spans="1:11" x14ac:dyDescent="0.25">
      <c r="A23" s="22" t="s">
        <v>201</v>
      </c>
      <c r="B23" s="22">
        <v>4</v>
      </c>
      <c r="C23" s="9" t="s">
        <v>157</v>
      </c>
      <c r="D23" s="9" t="s">
        <v>198</v>
      </c>
      <c r="E23" s="16">
        <v>0.5</v>
      </c>
      <c r="F23" s="9" t="s">
        <v>199</v>
      </c>
      <c r="G23" s="22">
        <v>400</v>
      </c>
      <c r="H23" s="22">
        <v>2000</v>
      </c>
    </row>
    <row r="24" spans="1:11" x14ac:dyDescent="0.25">
      <c r="A24" s="22" t="s">
        <v>202</v>
      </c>
      <c r="B24" s="22">
        <v>4</v>
      </c>
      <c r="C24" s="9" t="s">
        <v>157</v>
      </c>
      <c r="D24" s="9" t="s">
        <v>198</v>
      </c>
      <c r="E24" s="16">
        <v>0.5</v>
      </c>
      <c r="F24" s="9" t="s">
        <v>199</v>
      </c>
      <c r="G24" s="22">
        <v>525</v>
      </c>
      <c r="H24" s="22">
        <v>9800</v>
      </c>
    </row>
    <row r="25" spans="1:11" x14ac:dyDescent="0.25">
      <c r="A25" s="22" t="s">
        <v>203</v>
      </c>
      <c r="B25" s="22">
        <v>2</v>
      </c>
      <c r="C25" s="9" t="s">
        <v>157</v>
      </c>
      <c r="D25" s="9" t="s">
        <v>198</v>
      </c>
      <c r="E25" s="16">
        <v>0.5</v>
      </c>
      <c r="F25" s="9" t="s">
        <v>199</v>
      </c>
      <c r="G25" s="22">
        <v>293</v>
      </c>
      <c r="H25" s="22">
        <v>19230</v>
      </c>
    </row>
  </sheetData>
  <mergeCells count="3">
    <mergeCell ref="A1:K1"/>
    <mergeCell ref="A19:H19"/>
    <mergeCell ref="A17:K17"/>
  </mergeCells>
  <pageMargins left="0.511811024" right="0.511811024" top="0.78740157499999996" bottom="0.78740157499999996" header="0.31496062000000002" footer="0.31496062000000002"/>
  <pageSetup paperSize="9"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Normal="100" workbookViewId="0">
      <selection activeCell="H19" sqref="H19"/>
    </sheetView>
  </sheetViews>
  <sheetFormatPr defaultRowHeight="15" x14ac:dyDescent="0.25"/>
  <cols>
    <col min="1" max="1" width="0.5703125" style="79" customWidth="1"/>
    <col min="2" max="2" width="11" style="79" customWidth="1"/>
    <col min="3" max="3" width="13.28515625" style="79" customWidth="1"/>
    <col min="4" max="4" width="13.5703125" style="79" customWidth="1"/>
    <col min="6" max="6" width="8.140625" style="79" bestFit="1" customWidth="1"/>
    <col min="7" max="7" width="14.140625" style="79" customWidth="1"/>
    <col min="8" max="8" width="21.28515625" style="79" customWidth="1"/>
    <col min="9" max="9" width="12.42578125" style="79" customWidth="1"/>
    <col min="10" max="10" width="13.5703125" style="79" customWidth="1"/>
  </cols>
  <sheetData>
    <row r="1" spans="1:22" x14ac:dyDescent="0.25">
      <c r="A1" s="91" t="s">
        <v>204</v>
      </c>
      <c r="B1" s="85"/>
      <c r="C1" s="85"/>
      <c r="D1" s="85"/>
      <c r="E1" s="85"/>
      <c r="F1" s="85"/>
      <c r="G1" s="85"/>
      <c r="H1" s="85"/>
      <c r="I1" s="85"/>
      <c r="J1" s="86"/>
      <c r="K1" s="8"/>
      <c r="T1" s="11" t="s">
        <v>205</v>
      </c>
      <c r="U1" s="82"/>
      <c r="V1" s="10"/>
    </row>
    <row r="2" spans="1:22" x14ac:dyDescent="0.25">
      <c r="A2" s="5" t="s">
        <v>206</v>
      </c>
      <c r="B2" s="5" t="s">
        <v>207</v>
      </c>
      <c r="C2" s="5" t="s">
        <v>208</v>
      </c>
      <c r="D2" s="5" t="s">
        <v>209</v>
      </c>
      <c r="E2" s="5" t="s">
        <v>210</v>
      </c>
      <c r="F2" s="5" t="s">
        <v>211</v>
      </c>
      <c r="G2" s="5" t="s">
        <v>212</v>
      </c>
      <c r="H2" s="5" t="s">
        <v>213</v>
      </c>
      <c r="I2" s="5" t="s">
        <v>214</v>
      </c>
      <c r="J2" s="5" t="s">
        <v>215</v>
      </c>
      <c r="K2" s="17">
        <v>0</v>
      </c>
      <c r="T2" s="12"/>
      <c r="V2" s="14"/>
    </row>
    <row r="3" spans="1:22" x14ac:dyDescent="0.25">
      <c r="A3" s="5">
        <v>0</v>
      </c>
      <c r="B3" s="7">
        <v>1</v>
      </c>
      <c r="C3" s="23">
        <v>4.2</v>
      </c>
      <c r="D3" s="5" t="s">
        <v>216</v>
      </c>
      <c r="E3" s="5" t="s">
        <v>217</v>
      </c>
      <c r="F3" s="5">
        <v>0.109</v>
      </c>
      <c r="G3" s="6">
        <f t="shared" ref="G3:G11" si="0">ROUNDUP(T3/12,0)+ROUNDUP(B3/12,0)</f>
        <v>1</v>
      </c>
      <c r="H3" s="6">
        <f>G3+G3*K2</f>
        <v>1</v>
      </c>
      <c r="I3" s="6">
        <f t="shared" ref="I3:I11" si="1">G3*12*F3</f>
        <v>1.3080000000000001</v>
      </c>
      <c r="J3" s="6">
        <f t="shared" ref="J3:J11" si="2">H3*12*F3</f>
        <v>1.3080000000000001</v>
      </c>
      <c r="T3" s="12">
        <f t="shared" ref="T3:T11" si="3">A3/F3</f>
        <v>0</v>
      </c>
      <c r="V3" s="14"/>
    </row>
    <row r="4" spans="1:22" x14ac:dyDescent="0.25">
      <c r="A4" s="5">
        <v>0</v>
      </c>
      <c r="B4" s="7">
        <v>1</v>
      </c>
      <c r="C4" s="24">
        <v>5</v>
      </c>
      <c r="D4" s="25" t="s">
        <v>216</v>
      </c>
      <c r="E4" s="25" t="s">
        <v>217</v>
      </c>
      <c r="F4" s="25">
        <v>0.154</v>
      </c>
      <c r="G4" s="6">
        <f t="shared" si="0"/>
        <v>1</v>
      </c>
      <c r="H4" s="6">
        <f>G4+G4*K2</f>
        <v>1</v>
      </c>
      <c r="I4" s="6">
        <f t="shared" si="1"/>
        <v>1.8479999999999999</v>
      </c>
      <c r="J4" s="6">
        <f t="shared" si="2"/>
        <v>1.8479999999999999</v>
      </c>
      <c r="T4" s="12">
        <f t="shared" si="3"/>
        <v>0</v>
      </c>
      <c r="V4" s="14"/>
    </row>
    <row r="5" spans="1:22" x14ac:dyDescent="0.25">
      <c r="A5" s="5">
        <v>0</v>
      </c>
      <c r="B5" s="7">
        <v>1</v>
      </c>
      <c r="C5" s="24">
        <v>6.3</v>
      </c>
      <c r="D5" s="26" t="s">
        <v>218</v>
      </c>
      <c r="E5" s="25" t="s">
        <v>219</v>
      </c>
      <c r="F5" s="25">
        <v>0.245</v>
      </c>
      <c r="G5" s="6">
        <f t="shared" si="0"/>
        <v>1</v>
      </c>
      <c r="H5" s="6">
        <f>G5+G5*K2</f>
        <v>1</v>
      </c>
      <c r="I5" s="6">
        <f t="shared" si="1"/>
        <v>2.94</v>
      </c>
      <c r="J5" s="6">
        <f t="shared" si="2"/>
        <v>2.94</v>
      </c>
      <c r="T5" s="12">
        <f t="shared" si="3"/>
        <v>0</v>
      </c>
      <c r="V5" s="14"/>
    </row>
    <row r="6" spans="1:22" x14ac:dyDescent="0.25">
      <c r="A6" s="5">
        <v>0</v>
      </c>
      <c r="B6" s="7">
        <v>1</v>
      </c>
      <c r="C6" s="24">
        <v>8</v>
      </c>
      <c r="D6" s="26" t="s">
        <v>220</v>
      </c>
      <c r="E6" s="25" t="s">
        <v>219</v>
      </c>
      <c r="F6" s="25">
        <v>0.39500000000000002</v>
      </c>
      <c r="G6" s="6">
        <f t="shared" si="0"/>
        <v>1</v>
      </c>
      <c r="H6" s="6">
        <f>G6+G6*K2</f>
        <v>1</v>
      </c>
      <c r="I6" s="6">
        <f t="shared" si="1"/>
        <v>4.74</v>
      </c>
      <c r="J6" s="6">
        <f t="shared" si="2"/>
        <v>4.74</v>
      </c>
      <c r="T6" s="12">
        <f t="shared" si="3"/>
        <v>0</v>
      </c>
      <c r="V6" s="14"/>
    </row>
    <row r="7" spans="1:22" x14ac:dyDescent="0.25">
      <c r="A7" s="5">
        <v>0</v>
      </c>
      <c r="B7" s="7">
        <v>1</v>
      </c>
      <c r="C7" s="24">
        <v>10</v>
      </c>
      <c r="D7" s="26" t="s">
        <v>221</v>
      </c>
      <c r="E7" s="25" t="s">
        <v>219</v>
      </c>
      <c r="F7" s="25">
        <v>0.61699999999999999</v>
      </c>
      <c r="G7" s="6">
        <f t="shared" si="0"/>
        <v>1</v>
      </c>
      <c r="H7" s="6">
        <f>G7+G7*K2</f>
        <v>1</v>
      </c>
      <c r="I7" s="6">
        <f t="shared" si="1"/>
        <v>7.4039999999999999</v>
      </c>
      <c r="J7" s="6">
        <f t="shared" si="2"/>
        <v>7.4039999999999999</v>
      </c>
      <c r="T7" s="12">
        <f t="shared" si="3"/>
        <v>0</v>
      </c>
      <c r="V7" s="14"/>
    </row>
    <row r="8" spans="1:22" x14ac:dyDescent="0.25">
      <c r="A8" s="5">
        <v>0</v>
      </c>
      <c r="B8" s="7">
        <v>1</v>
      </c>
      <c r="C8" s="24">
        <v>12.5</v>
      </c>
      <c r="D8" s="26" t="s">
        <v>222</v>
      </c>
      <c r="E8" s="25" t="s">
        <v>219</v>
      </c>
      <c r="F8" s="25">
        <v>0.96299999999999997</v>
      </c>
      <c r="G8" s="6">
        <f t="shared" si="0"/>
        <v>1</v>
      </c>
      <c r="H8" s="6">
        <f>G8+G8*K2</f>
        <v>1</v>
      </c>
      <c r="I8" s="6">
        <f t="shared" si="1"/>
        <v>11.555999999999999</v>
      </c>
      <c r="J8" s="6">
        <f t="shared" si="2"/>
        <v>11.555999999999999</v>
      </c>
      <c r="T8" s="12">
        <f t="shared" si="3"/>
        <v>0</v>
      </c>
      <c r="V8" s="14"/>
    </row>
    <row r="9" spans="1:22" x14ac:dyDescent="0.25">
      <c r="A9" s="5">
        <v>0</v>
      </c>
      <c r="B9" s="7">
        <v>1</v>
      </c>
      <c r="C9" s="24">
        <v>16</v>
      </c>
      <c r="D9" s="26" t="s">
        <v>223</v>
      </c>
      <c r="E9" s="25" t="s">
        <v>219</v>
      </c>
      <c r="F9" s="25">
        <v>1.5780000000000001</v>
      </c>
      <c r="G9" s="6">
        <f t="shared" si="0"/>
        <v>1</v>
      </c>
      <c r="H9" s="6">
        <f>G9+G9*K2</f>
        <v>1</v>
      </c>
      <c r="I9" s="6">
        <f t="shared" si="1"/>
        <v>18.936</v>
      </c>
      <c r="J9" s="6">
        <f t="shared" si="2"/>
        <v>18.936</v>
      </c>
      <c r="T9" s="12">
        <f t="shared" si="3"/>
        <v>0</v>
      </c>
      <c r="V9" s="14"/>
    </row>
    <row r="10" spans="1:22" x14ac:dyDescent="0.25">
      <c r="A10" s="5">
        <v>0</v>
      </c>
      <c r="B10" s="7">
        <v>1</v>
      </c>
      <c r="C10" s="24">
        <v>20</v>
      </c>
      <c r="D10" s="26" t="s">
        <v>224</v>
      </c>
      <c r="E10" s="25" t="s">
        <v>219</v>
      </c>
      <c r="F10" s="25">
        <v>2.4660000000000002</v>
      </c>
      <c r="G10" s="6">
        <f t="shared" si="0"/>
        <v>1</v>
      </c>
      <c r="H10" s="6">
        <f>G10+G10*K2</f>
        <v>1</v>
      </c>
      <c r="I10" s="6">
        <f t="shared" si="1"/>
        <v>29.592000000000002</v>
      </c>
      <c r="J10" s="6">
        <f t="shared" si="2"/>
        <v>29.592000000000002</v>
      </c>
      <c r="T10" s="12">
        <f t="shared" si="3"/>
        <v>0</v>
      </c>
      <c r="V10" s="14"/>
    </row>
    <row r="11" spans="1:22" x14ac:dyDescent="0.25">
      <c r="A11" s="5">
        <v>0</v>
      </c>
      <c r="B11" s="7">
        <v>1</v>
      </c>
      <c r="C11" s="24">
        <v>25</v>
      </c>
      <c r="D11" s="26" t="s">
        <v>225</v>
      </c>
      <c r="E11" s="25" t="s">
        <v>219</v>
      </c>
      <c r="F11" s="25">
        <v>3.8530000000000002</v>
      </c>
      <c r="G11" s="6">
        <f t="shared" si="0"/>
        <v>1</v>
      </c>
      <c r="H11" s="6">
        <f>G11+G11*K2</f>
        <v>1</v>
      </c>
      <c r="I11" s="6">
        <f t="shared" si="1"/>
        <v>46.236000000000004</v>
      </c>
      <c r="J11" s="6">
        <f t="shared" si="2"/>
        <v>46.236000000000004</v>
      </c>
      <c r="T11" s="13">
        <f t="shared" si="3"/>
        <v>0</v>
      </c>
      <c r="U11" s="83"/>
      <c r="V11" s="15"/>
    </row>
    <row r="12" spans="1:22" ht="15" customHeight="1" x14ac:dyDescent="0.25">
      <c r="A12" s="98" t="s">
        <v>226</v>
      </c>
      <c r="B12" s="93"/>
      <c r="C12" s="93"/>
      <c r="D12" s="93"/>
      <c r="E12" s="94"/>
      <c r="F12" s="98" t="s">
        <v>227</v>
      </c>
      <c r="G12" s="86"/>
      <c r="H12" s="49"/>
      <c r="I12" s="27">
        <f>SUM(I5:I11)</f>
        <v>121.40400000000001</v>
      </c>
      <c r="J12" s="27">
        <f>SUM(J5:J11)</f>
        <v>121.40400000000001</v>
      </c>
    </row>
    <row r="13" spans="1:22" ht="15" customHeight="1" x14ac:dyDescent="0.25">
      <c r="A13" s="95"/>
      <c r="B13" s="96"/>
      <c r="C13" s="96"/>
      <c r="D13" s="96"/>
      <c r="E13" s="97"/>
      <c r="F13" s="98" t="s">
        <v>228</v>
      </c>
      <c r="G13" s="86"/>
      <c r="H13" s="49"/>
      <c r="I13" s="27">
        <f>SUM(I3:I4)</f>
        <v>3.1559999999999997</v>
      </c>
      <c r="J13" s="27">
        <f>SUM(J3:J4)</f>
        <v>3.1559999999999997</v>
      </c>
    </row>
    <row r="14" spans="1:22" ht="15" customHeight="1" x14ac:dyDescent="0.25">
      <c r="A14" s="92" t="s">
        <v>229</v>
      </c>
      <c r="B14" s="93"/>
      <c r="C14" s="93"/>
      <c r="D14" s="93"/>
      <c r="E14" s="93"/>
      <c r="F14" s="93"/>
      <c r="G14" s="94"/>
      <c r="H14" s="81"/>
      <c r="I14" s="89">
        <f>I12+I13</f>
        <v>124.56000000000002</v>
      </c>
      <c r="J14" s="89">
        <f>J12+J13</f>
        <v>124.56000000000002</v>
      </c>
    </row>
    <row r="15" spans="1:22" ht="15" customHeight="1" x14ac:dyDescent="0.25">
      <c r="A15" s="95"/>
      <c r="B15" s="96"/>
      <c r="C15" s="96"/>
      <c r="D15" s="96"/>
      <c r="E15" s="96"/>
      <c r="F15" s="96"/>
      <c r="G15" s="97"/>
      <c r="H15" s="81"/>
      <c r="I15" s="90"/>
      <c r="J15" s="90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499999996" bottom="0.78740157499999996" header="0.31496062000000002" footer="0.31496062000000002"/>
  <pageSetup paperSize="9" scale="5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5" sqref="C5"/>
    </sheetView>
  </sheetViews>
  <sheetFormatPr defaultRowHeight="15" x14ac:dyDescent="0.25"/>
  <cols>
    <col min="2" max="2" width="13.85546875" style="79" customWidth="1"/>
  </cols>
  <sheetData>
    <row r="1" spans="1:4" x14ac:dyDescent="0.25">
      <c r="A1" t="s">
        <v>230</v>
      </c>
      <c r="C1" s="20">
        <v>10.8</v>
      </c>
    </row>
    <row r="2" spans="1:4" x14ac:dyDescent="0.25">
      <c r="A2" t="s">
        <v>231</v>
      </c>
      <c r="C2" s="20">
        <v>17.399999999999999</v>
      </c>
      <c r="D2" t="s">
        <v>232</v>
      </c>
    </row>
    <row r="3" spans="1:4" x14ac:dyDescent="0.25">
      <c r="A3" t="s">
        <v>233</v>
      </c>
      <c r="C3">
        <f>C2+C1</f>
        <v>28.2</v>
      </c>
    </row>
    <row r="4" spans="1:4" x14ac:dyDescent="0.25">
      <c r="A4" t="s">
        <v>234</v>
      </c>
      <c r="C4">
        <f>C2/2+2.6+C1/2+2.6</f>
        <v>19.3</v>
      </c>
    </row>
    <row r="5" spans="1:4" x14ac:dyDescent="0.25">
      <c r="A5" t="s">
        <v>235</v>
      </c>
      <c r="C5">
        <f>C2*5+C1*5</f>
        <v>141</v>
      </c>
    </row>
    <row r="6" spans="1:4" x14ac:dyDescent="0.25">
      <c r="A6" t="s">
        <v>236</v>
      </c>
      <c r="C6">
        <f>C2+C1</f>
        <v>28.2</v>
      </c>
    </row>
    <row r="7" spans="1:4" x14ac:dyDescent="0.25">
      <c r="A7" t="s">
        <v>237</v>
      </c>
      <c r="C7">
        <f>C2</f>
        <v>17.399999999999999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dobrados eqse</vt:lpstr>
      <vt:lpstr>TELHAS</vt:lpstr>
      <vt:lpstr>vergalhão</vt:lpstr>
      <vt:lpstr>Guarda corpo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Casagrande</dc:creator>
  <cp:lastModifiedBy>Lucas Engenharia</cp:lastModifiedBy>
  <cp:lastPrinted>2025-09-26T14:13:21Z</cp:lastPrinted>
  <dcterms:created xsi:type="dcterms:W3CDTF">2019-09-25T17:07:31Z</dcterms:created>
  <dcterms:modified xsi:type="dcterms:W3CDTF">2025-12-08T17:00:29Z</dcterms:modified>
</cp:coreProperties>
</file>